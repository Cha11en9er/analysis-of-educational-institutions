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pos\analysis-of-educational-institutions\school_data\sd_2_stage_gosuslugi\"/>
    </mc:Choice>
  </mc:AlternateContent>
  <bookViews>
    <workbookView xWindow="0" yWindow="0" windowWidth="23040" windowHeight="9192"/>
  </bookViews>
  <sheets>
    <sheet name="Информация о школах Саратова" sheetId="1" r:id="rId1"/>
  </sheets>
  <calcPr calcId="162913"/>
</workbook>
</file>

<file path=xl/calcChain.xml><?xml version="1.0" encoding="utf-8"?>
<calcChain xmlns="http://schemas.openxmlformats.org/spreadsheetml/2006/main">
  <c r="C3" i="1" l="1"/>
  <c r="C6" i="1"/>
  <c r="C5" i="1"/>
  <c r="C10" i="1"/>
  <c r="C7" i="1"/>
  <c r="C13" i="1"/>
  <c r="C15" i="1"/>
  <c r="C19" i="1"/>
  <c r="C20" i="1"/>
  <c r="C26" i="1"/>
  <c r="C27" i="1"/>
  <c r="C28" i="1"/>
  <c r="C29" i="1"/>
  <c r="C35" i="1"/>
  <c r="C37" i="1"/>
  <c r="C38" i="1"/>
  <c r="C39" i="1"/>
  <c r="C41" i="1"/>
  <c r="C43" i="1"/>
  <c r="C44" i="1"/>
  <c r="C46" i="1"/>
  <c r="C47" i="1"/>
  <c r="C50" i="1"/>
  <c r="C53" i="1"/>
  <c r="C56" i="1"/>
  <c r="C58" i="1"/>
  <c r="C60" i="1"/>
  <c r="C62" i="1"/>
  <c r="C64" i="1"/>
  <c r="C68" i="1"/>
  <c r="C69" i="1"/>
  <c r="C74" i="1"/>
  <c r="C73" i="1"/>
  <c r="C77" i="1"/>
  <c r="C79" i="1"/>
  <c r="C82" i="1"/>
  <c r="C83" i="1"/>
  <c r="C89" i="1"/>
  <c r="C88" i="1"/>
  <c r="C87" i="1"/>
  <c r="C86" i="1"/>
  <c r="C97" i="1"/>
  <c r="C98" i="1"/>
  <c r="C103" i="1"/>
  <c r="C102" i="1"/>
  <c r="C101" i="1"/>
  <c r="C110" i="1"/>
  <c r="C114" i="1"/>
  <c r="C113" i="1"/>
  <c r="C112" i="1"/>
  <c r="C116" i="1"/>
  <c r="C119" i="1"/>
  <c r="C129" i="1"/>
  <c r="C128" i="1"/>
  <c r="C126" i="1"/>
  <c r="C122" i="1"/>
  <c r="C123" i="1"/>
  <c r="C124" i="1"/>
  <c r="C121" i="1"/>
</calcChain>
</file>

<file path=xl/sharedStrings.xml><?xml version="1.0" encoding="utf-8"?>
<sst xmlns="http://schemas.openxmlformats.org/spreadsheetml/2006/main" count="2413" uniqueCount="1514">
  <si>
    <t>ID</t>
  </si>
  <si>
    <t>Название на 2ГИС</t>
  </si>
  <si>
    <t>Короткое название</t>
  </si>
  <si>
    <t>Адрес</t>
  </si>
  <si>
    <t>Тип здания</t>
  </si>
  <si>
    <t>S, м2</t>
  </si>
  <si>
    <t>Этажей</t>
  </si>
  <si>
    <t>Подз/э</t>
  </si>
  <si>
    <t>Матер</t>
  </si>
  <si>
    <t>г/пост</t>
  </si>
  <si>
    <t>реконструкция</t>
  </si>
  <si>
    <t>вместимость</t>
  </si>
  <si>
    <t>ФОК</t>
  </si>
  <si>
    <t>бассейн</t>
  </si>
  <si>
    <t>стадион</t>
  </si>
  <si>
    <t>спортплощадка</t>
  </si>
  <si>
    <t>Широта</t>
  </si>
  <si>
    <t>Долгота</t>
  </si>
  <si>
    <t>Кадастровый номер</t>
  </si>
  <si>
    <t>Рейтинг 2ГИС</t>
  </si>
  <si>
    <t>Рейтинг Яндекс</t>
  </si>
  <si>
    <t>Ссылка на Яндекс</t>
  </si>
  <si>
    <t>Ссылка на отзывы Яндекс</t>
  </si>
  <si>
    <t>Ссылка на 2ГИС</t>
  </si>
  <si>
    <t>Ссылка на отзывы 2ГИС</t>
  </si>
  <si>
    <t>Ссылка Госуслуги</t>
  </si>
  <si>
    <t>Профильные направления</t>
  </si>
  <si>
    <t>ЕГЭ</t>
  </si>
  <si>
    <t>ВУЗы</t>
  </si>
  <si>
    <t>Олимпиады</t>
  </si>
  <si>
    <t>МТО (URL)</t>
  </si>
  <si>
    <t>Инфраструктура (спорт)</t>
  </si>
  <si>
    <t>Итоговый рейтинг</t>
  </si>
  <si>
    <t>МАОУ Средняя общеобразовательная школа №51</t>
  </si>
  <si>
    <t>Школа №51</t>
  </si>
  <si>
    <t>ул Артиллерийская, д 27</t>
  </si>
  <si>
    <t>Основное здание</t>
  </si>
  <si>
    <t>панель</t>
  </si>
  <si>
    <t>64:48:030205:54</t>
  </si>
  <si>
    <t>https://yandex.com/maps/org/munitsipalnoye_obshcheobrazovatelnoye_uchrezhdeniye_srednyaya_obshcheobrazovatelnaya_shkola_51/1041347543/</t>
  </si>
  <si>
    <t>https://yandex.com/maps/org/munitsipalnoye_obshcheobrazovatelnoye_uchrezhdeniye_srednyaya_obshcheobrazovatelnaya_shkola_51/1041347543/reviews/</t>
  </si>
  <si>
    <t>https://2gis.ru/saratov/firm/6052240280256707</t>
  </si>
  <si>
    <t>https://2gis.ru/saratov/firm/6052240280256707/tab/reviews</t>
  </si>
  <si>
    <t>https://shk51-sar.gosuslugi.ru/</t>
  </si>
  <si>
    <t>Технологический; Естественно-научный; Социально-экономический</t>
  </si>
  <si>
    <t>69,1 - Средний балл на ЕГЭ по русскому языку в 2025 году</t>
  </si>
  <si>
    <t>95,7% - Выпускников поступивших в ВУЗы в 2025 году</t>
  </si>
  <si>
    <t>615 - Призеров Всероссийской олимпиады за 3 года</t>
  </si>
  <si>
    <t>https://shk51-sar.gosuslugi.ru/svedeniya-ob-obrazovatelnoy-organizatsii/materialno-tehnicheskoe-obespechenie-dostupnaya-sreda/</t>
  </si>
  <si>
    <t>Спортивные залы; Спортивная площадка</t>
  </si>
  <si>
    <t>МАОУ Лицей №36</t>
  </si>
  <si>
    <t>Лицей №36</t>
  </si>
  <si>
    <t>ул Одесская, зд 7</t>
  </si>
  <si>
    <t>кирп</t>
  </si>
  <si>
    <t>64:48:040816:197</t>
  </si>
  <si>
    <t>https://yandex.com/maps/org/maou_litsey_36/1122418848/</t>
  </si>
  <si>
    <t>https://yandex.com/maps/org/maou_litsey_36/1122418848/reviews/</t>
  </si>
  <si>
    <t>https://2gis.ru/saratov/firm/6052240280256652</t>
  </si>
  <si>
    <t>https://2gis.ru/saratov/firm/6052240280256652/tab/reviews</t>
  </si>
  <si>
    <t>https://lic36-sar.gosuslugi.ru/</t>
  </si>
  <si>
    <t>Технологический профиль; Социально-экономический профиль</t>
  </si>
  <si>
    <t>62 - Средний балл на ЕГЭ в 2025 году</t>
  </si>
  <si>
    <t>90% - Выпускников поступивших в ВУЗы в 2025 году</t>
  </si>
  <si>
    <t>420 - Призеров Всероссийской олимпиады за 3 года</t>
  </si>
  <si>
    <t>https://lic36-sar.gosuslugi.ru/svedeniya-ob-obrazovatelnoy-organizatsii/materialno-tehnicheskoe-obespechenie-dostupnaya-sreda/</t>
  </si>
  <si>
    <t>МАОУ Лицей №37</t>
  </si>
  <si>
    <t>Лицей №37</t>
  </si>
  <si>
    <t>пер Мирный, д 3</t>
  </si>
  <si>
    <t>64:48:060207:270</t>
  </si>
  <si>
    <t>https://yandex.com/maps/org/litsey_37/1022515372/</t>
  </si>
  <si>
    <t>https://yandex.com/maps/org/litsey_37/1022515372/reviews/</t>
  </si>
  <si>
    <t>https://2gis.ru/saratov/firm/6052240280257284</t>
  </si>
  <si>
    <t>https://2gis.ru/saratov/firm/6052240280257284/tab/reviews</t>
  </si>
  <si>
    <t>https://lic37-sar.gosuslugi.ru/</t>
  </si>
  <si>
    <t>Естественно-научное; Гуманитарное; Технологическое</t>
  </si>
  <si>
    <t>79 - Средний балл на ЕГЭ в 2025 году</t>
  </si>
  <si>
    <t>100% - Выпускников поступили в ВУЗы в 2025 году</t>
  </si>
  <si>
    <t>179 - Призеров Всероссийской олимпиады за 3 года</t>
  </si>
  <si>
    <t>https://lic37-sar.gosuslugi.ru/svedeniya-ob-obrazovatelnoy-organizatsii/materialno-tehnicheskoe-obespechenie-dostupnaya-sreda/</t>
  </si>
  <si>
    <t>Спортивные залы; Бассейн; Спортивная площадка</t>
  </si>
  <si>
    <t>МОУ Средняя общеобразовательная школа №66 им. Н. И. Вавилова</t>
  </si>
  <si>
    <t>Школа №66</t>
  </si>
  <si>
    <t>ул Державинская, д 1</t>
  </si>
  <si>
    <t>Здание с новыми корпусами</t>
  </si>
  <si>
    <t>64:48:010115:7849, 64:48:010115:12993</t>
  </si>
  <si>
    <t>https://yandex.com/maps/org/secondary_school_no_66_named_after_n_i_vavilov/1133728010/</t>
  </si>
  <si>
    <t>https://yandex.com/maps/org/secondary_school_no_66_named_after_n_i_vavilov/1133728010/reviews/</t>
  </si>
  <si>
    <t>https://2gis.ru/saratov/firm/6052240280393748</t>
  </si>
  <si>
    <t>https://2gis.ru/saratov/firm/6052240280393748/tab/reviews</t>
  </si>
  <si>
    <t>https://school66vavilov.gosuslugi.ru/</t>
  </si>
  <si>
    <t>Универсальный профиль; Социально-экономический профиль</t>
  </si>
  <si>
    <t>41 - Средний балл на ЕГЭ в 2021 году</t>
  </si>
  <si>
    <t>50,6% - Выпускников поступивших в ВУЗы в 2021 году</t>
  </si>
  <si>
    <t>641 - Победителей и призеров Всероссийской олимпиады за 3 года (школьный этап)</t>
  </si>
  <si>
    <t>https://school66vavilov.gosuslugi.ru/svedeniya-ob-obrazovatelnoy-organizatsii/materialno-tehnicheskoe-obespechenie-dostupnaya-sreda/</t>
  </si>
  <si>
    <t>Спортивный зал; Спортивная площадка</t>
  </si>
  <si>
    <t>МОУ Гимназия №7 им. К. Д. Ушинского</t>
  </si>
  <si>
    <t>Гимназия №7 новый корпус</t>
  </si>
  <si>
    <t>ул Муленкова, зд 10А</t>
  </si>
  <si>
    <t>64:48:010115:11275</t>
  </si>
  <si>
    <t>https://yandex.com/maps/org/gimnaziya_7/161310028795/</t>
  </si>
  <si>
    <t>https://yandex.com/maps/org/gimnaziya_7/161310028795/reviews/</t>
  </si>
  <si>
    <t>https://2gis.ru/saratov/firm/70000001030556823</t>
  </si>
  <si>
    <t>https://2gis.ru/saratov/firm/70000001030556823/tab/reviews</t>
  </si>
  <si>
    <t>https://gim7-sar.gosuslugi.ru/</t>
  </si>
  <si>
    <t>Гуманитарный профиль; Технологический профиль (химико-биологическое направление); Технологический профиль (физико-математическое направление)</t>
  </si>
  <si>
    <t>64,61 - средний балл на ЕГЭ в 2025 году</t>
  </si>
  <si>
    <t>нету</t>
  </si>
  <si>
    <t>46 - призеров муниципального этапа Всероссийской олимпиады школьников за 3 года</t>
  </si>
  <si>
    <t>https://gim7-sar.gosuslugi.ru/svedeniya-ob-obrazovatelnoy-organizatsii/materialno-tehnicheskoe-obespechenie-dostupnaya-sreda/</t>
  </si>
  <si>
    <t>Спортивные залы; Спортивные площадки</t>
  </si>
  <si>
    <t>МАОУ Гимназия №2</t>
  </si>
  <si>
    <t>Гимназия №2</t>
  </si>
  <si>
    <t>ул Чернышевского, д 138</t>
  </si>
  <si>
    <t>64:48:000000:22688</t>
  </si>
  <si>
    <t>https://yandex.com/maps/org/mou_gymnasium_2_of_the_city_of_saratov/1044083499/</t>
  </si>
  <si>
    <t>https://yandex.com/maps/org/mou_gymnasium_2_of_the_city_of_saratov/1044083499/reviews/</t>
  </si>
  <si>
    <t>https://2gis.ru/saratov/firm/6052240280257229</t>
  </si>
  <si>
    <t>https://2gis.ru/saratov/firm/6052240280257229/tab/reviews</t>
  </si>
  <si>
    <t>https://gim2-sar.gosuslugi.ru/</t>
  </si>
  <si>
    <t>Гуманитарное; Социально-экономическое; Технологическое</t>
  </si>
  <si>
    <t>71 - Средний балл на ЕГЭ в 2025 году</t>
  </si>
  <si>
    <t>100% - Выпускников поступивших в ВУЗы в 2025 году</t>
  </si>
  <si>
    <t>15 - Призеров заключительного этапа Всероссийской олимпиады за 3 года</t>
  </si>
  <si>
    <t>https://gim2-sar.gosuslugi.ru/svedeniya-ob-obrazovatelnoy-organizatsii/materialno-tehnicheskoe-obespechenie-dostupnaya-sreda/</t>
  </si>
  <si>
    <t>МОУ Гимназия №58</t>
  </si>
  <si>
    <t>Гимназия №58</t>
  </si>
  <si>
    <t>ул Расковой, зд 12</t>
  </si>
  <si>
    <t>64:48:020331:1207</t>
  </si>
  <si>
    <t>https://yandex.com/maps/org/gimnaziya_58/44228629428/</t>
  </si>
  <si>
    <t>https://yandex.com/maps/org/gimnaziya_58/44228629428/reviews/</t>
  </si>
  <si>
    <t>https://2gis.ru/saratov/firm/6052240280257237</t>
  </si>
  <si>
    <t>https://2gis.ru/saratov/firm/6052240280257237/tab/reviews</t>
  </si>
  <si>
    <t>https://gim58-sar.gosuslugi.ru/</t>
  </si>
  <si>
    <t>История; Математика; Обществознание; Информатика</t>
  </si>
  <si>
    <t>67 - Средний балл на ЕГЭ в 2025 году</t>
  </si>
  <si>
    <t>7 - Призеров муниципального и регионального этапов Всероссийской олимпиады за 2025 года</t>
  </si>
  <si>
    <t>https://gim58-sar.gosuslugi.ru/svedeniya-ob-obrazovatelnoy-organizatsii/materialno-tehnicheskoe-obespechenie-dostupnaya-sreda/</t>
  </si>
  <si>
    <t>Спортивные залы</t>
  </si>
  <si>
    <t>МАОУ Аврора средняя общеобразовательная школа</t>
  </si>
  <si>
    <t>Школа Аврора</t>
  </si>
  <si>
    <t>ул Батавина, зд 23</t>
  </si>
  <si>
    <t>64:48:030101:15152</t>
  </si>
  <si>
    <t>https://yandex.com/maps/org/srednyaya_obshcheobrazovatelnaya_shkola_avrora/132394050649/</t>
  </si>
  <si>
    <t>https://yandex.com/maps/org/srednyaya_obshcheobrazovatelnaya_shkola_avrora/132394050649/reviews/</t>
  </si>
  <si>
    <t>https://2gis.ru/saratov/firm/70000001035603313</t>
  </si>
  <si>
    <t>https://2gis.ru/saratov/firm/70000001035603313/tab/reviews</t>
  </si>
  <si>
    <t>https://shk8-sar.gosuslugi.ru/</t>
  </si>
  <si>
    <t>Универсальный профиль</t>
  </si>
  <si>
    <t>57,2 - Средний балл на ЕГЭ в 2025 году</t>
  </si>
  <si>
    <t>92% - Выпускников, поступивших в ВУЗы в 2025 году</t>
  </si>
  <si>
    <t>https://shk8-sar.gosuslugi.ru/svedeniya-ob-obrazovatelnoy-organizatsii/materialno-tehnicheskoe-obespechenie-dostupnaya-sreda/</t>
  </si>
  <si>
    <t>3 спортивных зала; Спортивная площадка</t>
  </si>
  <si>
    <t>МАОУ Лицей №15</t>
  </si>
  <si>
    <t>Лицей №15</t>
  </si>
  <si>
    <t>пр-кт Энтузиастов, зд 14 стр 1</t>
  </si>
  <si>
    <t>смеш</t>
  </si>
  <si>
    <t>64:48:020322:372</t>
  </si>
  <si>
    <t>https://yandex.com/maps/org/lyceum_15/1388328792/</t>
  </si>
  <si>
    <t>https://yandex.com/maps/org/lyceum_15/1388328792/reviews/</t>
  </si>
  <si>
    <t>https://2gis.ru/saratov/firm/6052240280266592</t>
  </si>
  <si>
    <t>https://2gis.ru/saratov/firm/6052240280266592/tab/reviews</t>
  </si>
  <si>
    <t>https://lic15-sar.gosuslugi.ru/</t>
  </si>
  <si>
    <t>74,14 - Средний балл на ЕГЭ в 2025 году</t>
  </si>
  <si>
    <t>315 - Призеров Всероссийской олимпиады за 3 года</t>
  </si>
  <si>
    <t>https://lic15-sar.gosuslugi.ru/svedeniya-ob-obrazovatelnoy-organizatsii/materialno-tehnicheskoe-obespechenie-dostupnaya-sreda/</t>
  </si>
  <si>
    <t>МОУ Средняя общеобразовательная школа №55</t>
  </si>
  <si>
    <t>Школа №55</t>
  </si>
  <si>
    <t>ул Чехова, зд 1А</t>
  </si>
  <si>
    <t>64:48:000000:18238</t>
  </si>
  <si>
    <t>https://yandex.com/maps/org/secondary_school_55/1061907716/</t>
  </si>
  <si>
    <t>https://yandex.com/maps/org/secondary_school_55/1061907716/reviews/</t>
  </si>
  <si>
    <t>https://2gis.ru/saratov/firm/6052240280256719</t>
  </si>
  <si>
    <t>https://2gis.ru/saratov/firm/6052240280256719/tab/reviews</t>
  </si>
  <si>
    <t>https://school55sar.gosuslugi.ru/</t>
  </si>
  <si>
    <t>56,4 - Средний балл на ЕГЭ в 2025 году</t>
  </si>
  <si>
    <t>90,1% - Выпускников поступивших в ВУЗы в 2025 году</t>
  </si>
  <si>
    <t>https://school55sar.gosuslugi.ru/svedeniya-ob-obrazovatelnoy-organizatsii/materialno-tehnicheskoe-obespechenie-dostupnaya-sreda/</t>
  </si>
  <si>
    <t>Хоккейная коробка; Спортивная площадка; Спортивные залы</t>
  </si>
  <si>
    <t>МОУ Гимназия №75 им. Д.М. Карбышева</t>
  </si>
  <si>
    <t>Гимназия №75</t>
  </si>
  <si>
    <t>ул Осенняя, зд 5</t>
  </si>
  <si>
    <t>64:48:040342:406</t>
  </si>
  <si>
    <t>https://yandex.com/maps/org/mou_sosh_75/197267336586/</t>
  </si>
  <si>
    <t>https://yandex.com/maps/org/mou_sosh_75/197267336586/reviews/</t>
  </si>
  <si>
    <t>https://2gis.ru/saratov/firm/6052240280256852</t>
  </si>
  <si>
    <t>https://2gis.ru/saratov/firm/6052240280256852/tab/reviews</t>
  </si>
  <si>
    <t>https://gim75-sar.gosuslugi.ru/</t>
  </si>
  <si>
    <t>Математика; Информатика; Обществознание; Биология; Химия</t>
  </si>
  <si>
    <t>86% - Выпускников поступивших в ВУЗы в 2025 году</t>
  </si>
  <si>
    <t>210 - Призеров Всероссийской олимпиады за 3 года</t>
  </si>
  <si>
    <t>https://gim75-sar.gosuslugi.ru/svedeniya-ob-obrazovatelnoy-organizatsii/materialno-tehnicheskoe-obespechenie-dostupnaya-sreda/</t>
  </si>
  <si>
    <t>МОУ Средняя общеобразовательная школа №84</t>
  </si>
  <si>
    <t>Школа №84</t>
  </si>
  <si>
    <t>ул Южно-Зеленая, зд 11А</t>
  </si>
  <si>
    <t>64:48:020356:570, 64:48:020356:573, 64:48:020440:583</t>
  </si>
  <si>
    <t>https://yandex.com/maps/org/srednyaya_obshcheobrazovatelnaya_shkola_84/245199771434/</t>
  </si>
  <si>
    <t>https://yandex.com/maps/org/srednyaya_obshcheobrazovatelnaya_shkola_84/245199771434/reviews/</t>
  </si>
  <si>
    <t>https://2gis.ru/saratov/firm/6052240280256868</t>
  </si>
  <si>
    <t>https://2gis.ru/saratov/firm/6052240280256868/tab/reviews</t>
  </si>
  <si>
    <t>https://shk84-sar.gosuslugi.ru/</t>
  </si>
  <si>
    <t>67,0 - Средний балл на ЕГЭ в 2025 году</t>
  </si>
  <si>
    <t>97% - Выпускников поступивших в ВУЗы в 2025 году</t>
  </si>
  <si>
    <t>https://shk84-sar.gosuslugi.ru/svedeniya-ob-obrazovatelnoy-organizatsii/materialno-tehnicheskoe-obespechenie-dostupnaya-sreda/</t>
  </si>
  <si>
    <t>МОУ Лицей №2</t>
  </si>
  <si>
    <t>Лицей №2</t>
  </si>
  <si>
    <t>пос Октябрьский, 1-я Линия, зд 9/4</t>
  </si>
  <si>
    <t>64:48:050235:61</t>
  </si>
  <si>
    <t>https://yandex.com/maps/org/litsey_2/1129908336/</t>
  </si>
  <si>
    <t>https://yandex.com/maps/org/litsey_2/1129908336/reviews/</t>
  </si>
  <si>
    <t>https://2gis.ru/saratov/firm/6052240280289243</t>
  </si>
  <si>
    <t>https://2gis.ru/saratov/firm/6052240280289243/tab/reviews</t>
  </si>
  <si>
    <t>https://lic2-sar.gosuslugi.ru/</t>
  </si>
  <si>
    <t>63,8 - Средний балл на ЕГЭ в 2025 году</t>
  </si>
  <si>
    <t>98% - Выпускников поступивших в ВУЗы в 2025 году</t>
  </si>
  <si>
    <t>12 - Призеров Всероссийской олимпиады за 3 года</t>
  </si>
  <si>
    <t>https://lic2-sar.gosuslugi.ru/svedeniya-ob-obrazovatelnoy-organizatsii/materialno-tehnicheskoe-obespechenie-dostupnaya-sreda/</t>
  </si>
  <si>
    <t>МОУ Средняя общеобразовательная школа №63 с углубленным изучением отдельных предметов</t>
  </si>
  <si>
    <t>Школа №63</t>
  </si>
  <si>
    <t>ул Уфимцева, зд 4А</t>
  </si>
  <si>
    <t>64:48:040404:3941</t>
  </si>
  <si>
    <t>https://2gis.ru/saratov/firm/6052240280256819</t>
  </si>
  <si>
    <t>https://2gis.ru/saratov/firm/6052240280256819/tab/reviews</t>
  </si>
  <si>
    <t>https://school63-sar.gosuslugi.ru/</t>
  </si>
  <si>
    <t>Универсальное по индивидуальному плану обучения; Социально-экономическое; Естественно-научное</t>
  </si>
  <si>
    <t>65.4 - Средний балл на ЕГЭ в 2025 году</t>
  </si>
  <si>
    <t>87% - Выпускников поступивших в ВУЗы в 2025 году</t>
  </si>
  <si>
    <t>51 - Призеров Всероссийской олимпиады за 3 года</t>
  </si>
  <si>
    <t>https://school63-sar.gosuslugi.ru/svedeniya-ob-obrazovatelnoy-organizatsii/materialno-tehnicheskoe-obespechenie-dostupnaya-sreda/</t>
  </si>
  <si>
    <t>МОУ Средняя общеобразовательная школа №5</t>
  </si>
  <si>
    <t>Школа №5</t>
  </si>
  <si>
    <t>ул Огородная, зд 196</t>
  </si>
  <si>
    <t>https://2gis.ru/saratov/firm/70000001074186219</t>
  </si>
  <si>
    <t>https://2gis.ru/saratov/firm/70000001074186219/tab/reviews</t>
  </si>
  <si>
    <t>https://shk5-sar.gosuslugi.ru/</t>
  </si>
  <si>
    <t>60 - Средний балл на ЕГЭ в 2025 году</t>
  </si>
  <si>
    <t>96% - Выпускников поступивших в ВУЗы в 2025 году</t>
  </si>
  <si>
    <t>https://shk5-sar.gosuslugi.ru/svedeniya-ob-obrazovatelnoy-organizatsii/materialno-tehnicheskoe-obespechenie-dostupnaya-sreda/</t>
  </si>
  <si>
    <t>МОУ Средняя общеобразовательная школа №106</t>
  </si>
  <si>
    <t>Школа №106</t>
  </si>
  <si>
    <t>ул Огородная, зд 33</t>
  </si>
  <si>
    <t>64:48:020633:8763</t>
  </si>
  <si>
    <t>https://yandex.com/maps/org/secondary_school_106/210122755916/</t>
  </si>
  <si>
    <t>https://yandex.com/maps/org/secondary_school_106/210122755916/reviews/</t>
  </si>
  <si>
    <t>https://2gis.ru/saratov/firm/6052240280256544</t>
  </si>
  <si>
    <t>https://2gis.ru/saratov/firm/6052240280256544/tab/reviews</t>
  </si>
  <si>
    <t>https://shkola106-saratov64.gosuslugi.ru/</t>
  </si>
  <si>
    <t>Социально-экономический профиль</t>
  </si>
  <si>
    <t>65,5 - Средний балл на ЕГЭ в 2025 году</t>
  </si>
  <si>
    <t>92 % - Выпускников поступивших в ВУЗы в 2025 году</t>
  </si>
  <si>
    <t>https://shkola106-saratov64.gosuslugi.ru/svedeniya-ob-obrazovatelnoy-organizatsii/materialno-tehnicheskoe-obespechenie-dostupnaya-sreda/</t>
  </si>
  <si>
    <t>МОУ Гуманитарно-экономический лицей</t>
  </si>
  <si>
    <t>Гуманитарно-экономический лицей корпус СОШ 12</t>
  </si>
  <si>
    <t>ул Большая Горная, д 141</t>
  </si>
  <si>
    <t>64:48:000000:6980</t>
  </si>
  <si>
    <t>https://yandex.com/maps/org/mou_gumanitarno_ekonomichesky_litsey/1092967532/</t>
  </si>
  <si>
    <t>https://yandex.com/maps/org/mou_gumanitarno_ekonomichesky_litsey/1092967532/reviews/</t>
  </si>
  <si>
    <t>https://2gis.ru/saratov/firm/6052240280256547</t>
  </si>
  <si>
    <t>https://2gis.ru/saratov/firm/6052240280256547/tab/reviews</t>
  </si>
  <si>
    <t>https://gel-sar.gosuslugi.ru/</t>
  </si>
  <si>
    <t>Технологический профиль; Универсальный профиль; Социально-экономический профиль; Психолого-педагогический профиль</t>
  </si>
  <si>
    <t>97, 4% - Выпускников поступивших в ВУЗы в 2025 году</t>
  </si>
  <si>
    <t>1 - Призер заключительного этапа Всероссийской олимпиады в 2025 году</t>
  </si>
  <si>
    <t>https://gel-sar.gosuslugi.ru/svedeniya-ob-obrazovatelnoy-organizatsii/materialno-tehnicheskoe-obespechenie-dostupnaya-sreda/</t>
  </si>
  <si>
    <t>МАОУ Лицей №24 им. М.М. Расковой</t>
  </si>
  <si>
    <t>Лицей №24</t>
  </si>
  <si>
    <t>ул Жуковского, д 24</t>
  </si>
  <si>
    <t>64:48:030212:3482, 64:48:030212:346</t>
  </si>
  <si>
    <t>https://yandex.com/maps/org/munitsipalnoye_obrazovatelnoye_uchrezhdeniye_srednyaya_obshcheobrazovatelnaya_shkola_93/227625211666/</t>
  </si>
  <si>
    <t>https://yandex.com/maps/org/munitsipalnoye_obrazovatelnoye_uchrezhdeniye_srednyaya_obshcheobrazovatelnaya_shkola_93/227625211666/reviews/</t>
  </si>
  <si>
    <t>https://2gis.ru/saratov/firm/6052240280256878</t>
  </si>
  <si>
    <t>https://2gis.ru/saratov/firm/6052240280256878/tab/reviews</t>
  </si>
  <si>
    <t>https://lic24-sar.gosuslugi.ru/</t>
  </si>
  <si>
    <t>Универсальный профиль; Социально-экономический профиль; Кадетское направление</t>
  </si>
  <si>
    <t>60 - Средний балл по русскому языку ЕГЭ в 2025 году</t>
  </si>
  <si>
    <t>https://lic24-sar.gosuslugi.ru/svedeniya-ob-obrazovatelnoy-organizatsii/materialno-tehnicheskoe-obespechenie-dostupnaya-sreda/</t>
  </si>
  <si>
    <t>МАОУ Средняя общеобразовательная школа №21 им. П.А. Столыпина</t>
  </si>
  <si>
    <t>Школа №21</t>
  </si>
  <si>
    <t>ул Посадского, д 193</t>
  </si>
  <si>
    <t>64:48:010243:531</t>
  </si>
  <si>
    <t>https://yandex.com/maps/org/srednyaya_obshcheobrazovatelnaya_shkola_21_im_p_a_stolypina/1029954455/</t>
  </si>
  <si>
    <t>https://yandex.com/maps/org/srednyaya_obshcheobrazovatelnaya_shkola_21_im_p_a_stolypina/1029954455/reviews/</t>
  </si>
  <si>
    <t>https://2gis.ru/saratov/firm/6052240280256522</t>
  </si>
  <si>
    <t>https://2gis.ru/saratov/firm/6052240280256522/tab/reviews</t>
  </si>
  <si>
    <t>https://shk21-sar.gosuslugi.ru/</t>
  </si>
  <si>
    <t>Социально-гуманитарный профиль; Технологический профиль; Социально-экономический профиль</t>
  </si>
  <si>
    <t>87 - Средний балл на ЕГЭ в 2022 году</t>
  </si>
  <si>
    <t>97% - Выпускников поступивших в ВУЗы в 2022 году</t>
  </si>
  <si>
    <t>https://shk21-sar.gosuslugi.ru/svedeniya-ob-obrazovatelnoy-organizatsii/materialno-tehnicheskoe-obespechenie-dostupnaya-sreda/</t>
  </si>
  <si>
    <t>МОУ Лицей №107</t>
  </si>
  <si>
    <t>Лицей №107</t>
  </si>
  <si>
    <t>ул Державинская, д 10</t>
  </si>
  <si>
    <t>64:48:010115:8736</t>
  </si>
  <si>
    <t>https://yandex.com/maps/org/lyceum_107/1021761978/</t>
  </si>
  <si>
    <t>https://yandex.com/maps/org/lyceum_107/1021761978/reviews/</t>
  </si>
  <si>
    <t>https://2gis.ru/saratov/firm/6052240280266504</t>
  </si>
  <si>
    <t>https://2gis.ru/saratov/firm/6052240280266504/tab/reviews</t>
  </si>
  <si>
    <t>https://lic107-sar.gosuslugi.ru/</t>
  </si>
  <si>
    <t>Гуманитарный; Технологический</t>
  </si>
  <si>
    <t>60 - Средний балл на ЕГЭ в 2022 году</t>
  </si>
  <si>
    <t>93% - Выпускников поступивших в ВУЗы в 2022 году</t>
  </si>
  <si>
    <t>60 - Призеров Всероссийской олимпиады за 3 года</t>
  </si>
  <si>
    <t>https://lic107-sar.gosuslugi.ru/svedeniya-ob-obrazovatelnoy-organizatsii/materialno-tehnicheskoe-obespechenie-dostupnaya-sreda/</t>
  </si>
  <si>
    <t>МОУ Средняя общеобразовательная школа №45</t>
  </si>
  <si>
    <t>Школа №45</t>
  </si>
  <si>
    <t>ул Дегтярная, зд 12</t>
  </si>
  <si>
    <t>64:48:050311:238</t>
  </si>
  <si>
    <t>https://yandex.com/maps/org/mei_secondary_school_45/1134269325/</t>
  </si>
  <si>
    <t>https://yandex.com/maps/org/mei_secondary_school_45/1134269325/reviews/</t>
  </si>
  <si>
    <t>https://2gis.ru/saratov/firm/6052240280256681</t>
  </si>
  <si>
    <t>https://2gis.ru/saratov/firm/6052240280256681/tab/reviews</t>
  </si>
  <si>
    <t>https://shk45-sar.gosuslugi.ru/</t>
  </si>
  <si>
    <t>Естественно - научное; Технологическое; Социально-экономическое</t>
  </si>
  <si>
    <t>57,6 - Общий средний балл ЕГЭ 2025 года</t>
  </si>
  <si>
    <t>https://shk45-sar.gosuslugi.ru/svedeniya-ob-obrazovatelnoy-organizatsii/materialno-tehnicheskoe-obespechenie-dostupnaya-sreda/</t>
  </si>
  <si>
    <t>МОУ Средняя общеобразовательная школа №48</t>
  </si>
  <si>
    <t>Школа №48</t>
  </si>
  <si>
    <t>ул Загороднева, зд 2</t>
  </si>
  <si>
    <t>64:48:000000:18251</t>
  </si>
  <si>
    <t>https://yandex.com/maps/org/srednyaya_obshcheobrazovatelnaya_shkola_48/38102825946/</t>
  </si>
  <si>
    <t>https://yandex.com/maps/org/srednyaya_obshcheobrazovatelnaya_shkola_48/38102825946/reviews/</t>
  </si>
  <si>
    <t>https://2gis.ru/saratov/firm/6052240280256685</t>
  </si>
  <si>
    <t>https://2gis.ru/saratov/firm/6052240280256685/tab/reviews</t>
  </si>
  <si>
    <t>https://shk48-sar.gosuslugi.ru/</t>
  </si>
  <si>
    <t>Математика; Обществознание</t>
  </si>
  <si>
    <t>280 - призеров Всероссийской олимпиады за 2023 - 2025 годы</t>
  </si>
  <si>
    <t>https://shk48-sar.gosuslugi.ru/svedeniya-ob-obrazovatelnoy-organizatsii/materialno-tehnicheskoe-obespechenie-dostupnaya-sreda/</t>
  </si>
  <si>
    <t>Спортивные залы; Спортивная коробка-трансформер; Спортивная площадка</t>
  </si>
  <si>
    <t>ГАОУ Инженерный лицей</t>
  </si>
  <si>
    <t>Инженерный лицей</t>
  </si>
  <si>
    <t>ул Клочкова, д 85</t>
  </si>
  <si>
    <t>64:48:050139:16</t>
  </si>
  <si>
    <t>https://yandex.com/maps/org/litsey_internat_6/1052539347/</t>
  </si>
  <si>
    <t>https://yandex.com/maps/org/litsey_internat_6/1052539347/reviews/</t>
  </si>
  <si>
    <t>https://2gis.ru/saratov/firm/6052240280393652</t>
  </si>
  <si>
    <t>https://2gis.ru/saratov/firm/6052240280393652/tab/reviews</t>
  </si>
  <si>
    <t>https://inlic-sar.gosuslugi.ru/</t>
  </si>
  <si>
    <t>Технологический</t>
  </si>
  <si>
    <t>55,84 - Средний балл на ЕГЭ в 2025 году</t>
  </si>
  <si>
    <t>https://inlic-sar.gosuslugi.ru/svedeniya-ob-obrazovatelnoy-organizatsii/materialno-tehnicheskoe-obespechenie-dostupnaya-sreda/</t>
  </si>
  <si>
    <t>1 спортивный зал; 2 Спортивных площадки</t>
  </si>
  <si>
    <t>МОУ Средняя общеобразовательная школа №59 с углубленным изучением предметов</t>
  </si>
  <si>
    <t>Школа №59</t>
  </si>
  <si>
    <t>ул Маркина, зд 17/39</t>
  </si>
  <si>
    <t>64:48:020339:211</t>
  </si>
  <si>
    <t>https://yandex.com/maps/org/munitsipalnoye_obrazovatelnoye_uchrezhdeniye_srednyaya_obshcheobrazovatelnaya_shkola_59_s_uglublennym_izucheniyem_predmetov/86852847691/</t>
  </si>
  <si>
    <t>https://yandex.com/maps/org/munitsipalnoye_obrazovatelnoye_uchrezhdeniye_srednyaya_obshcheobrazovatelnaya_shkola_59_s_uglublennym_izucheniyem_predmetov/86852847691/reviews/</t>
  </si>
  <si>
    <t>https://2gis.ru/saratov/firm/6052240280256531</t>
  </si>
  <si>
    <t>https://2gis.ru/saratov/firm/6052240280256531/tab/reviews</t>
  </si>
  <si>
    <t>https://shk59-sar.gosuslugi.ru/</t>
  </si>
  <si>
    <t>Технологический профиль; Естественно-научный профиль; Социально - экономический</t>
  </si>
  <si>
    <t>1 - высший балл /100 баллов/ ЕГЭ по литературе 2024-2025 уч.г.</t>
  </si>
  <si>
    <t>81 % - Выпускников поступивших в ВУЗы в 2025 году</t>
  </si>
  <si>
    <t>https://shk59-sar.gosuslugi.ru/svedeniya-ob-obrazovatelnoy-organizatsii/materialno-tehnicheskoe-obespechenie-dostupnaya-sreda/</t>
  </si>
  <si>
    <t>МОУ Средняя общеобразовательная школа №6</t>
  </si>
  <si>
    <t>Школа №6</t>
  </si>
  <si>
    <t>ул Симбирцева, д 34</t>
  </si>
  <si>
    <t>64:48:000000:44666</t>
  </si>
  <si>
    <t>https://yandex.com/maps/org/secondary_school_6/90738861676/</t>
  </si>
  <si>
    <t>https://yandex.com/maps/org/secondary_school_6/90738861676/reviews/</t>
  </si>
  <si>
    <t>https://2gis.ru/saratov/firm/6052240280266447</t>
  </si>
  <si>
    <t>https://2gis.ru/saratov/firm/6052240280266447/tab/reviews</t>
  </si>
  <si>
    <t>https://shk6-sar.gosuslugi.ru/</t>
  </si>
  <si>
    <t>Естественно-научный профиль; Социально-экономический профиль; Технологический профиль</t>
  </si>
  <si>
    <t>61,5 - Средний балл на ЕГЭ в 2025 году</t>
  </si>
  <si>
    <t>1 - Призер Всероссийской олимпиады (региональный этап)</t>
  </si>
  <si>
    <t>МОУ Средняя общеобразовательная школа №44 им. Героя России Н.В. Исаева</t>
  </si>
  <si>
    <t>Школа №44</t>
  </si>
  <si>
    <t>ул Перспективная, зд 9/10</t>
  </si>
  <si>
    <t>64:48:040408:335</t>
  </si>
  <si>
    <t>https://yandex.com/maps/org/shkola_44/106290889117/</t>
  </si>
  <si>
    <t>https://yandex.com/maps/org/shkola_44/106290889117/reviews/</t>
  </si>
  <si>
    <t>https://2gis.ru/saratov/firm/6052240280256680</t>
  </si>
  <si>
    <t>https://2gis.ru/saratov/firm/6052240280256680/tab/reviews</t>
  </si>
  <si>
    <t>https://shk44-sar.gosuslugi.ru/</t>
  </si>
  <si>
    <t>Универсальный; Социально- экономический</t>
  </si>
  <si>
    <t>91 - Высший балл на ЕГЭ в 2023 году</t>
  </si>
  <si>
    <t>80% - Выпускников поступивших в ВУЗы в 2023 году</t>
  </si>
  <si>
    <t>242 - Призеров Всероссийской олимпиады за 2022/2023 учебный год</t>
  </si>
  <si>
    <t>https://shk44-sar.gosuslugi.ru/svedeniya-ob-obrazovatelnoy-organizatsii/materialno-tehnicheskoe-obespechenie-dostupnaya-sreda/</t>
  </si>
  <si>
    <t>МОУ Средняя общеобразовательная школа №38</t>
  </si>
  <si>
    <t>Школа №38</t>
  </si>
  <si>
    <t>ул Южная, зд 46</t>
  </si>
  <si>
    <t>64:48:020238:271</t>
  </si>
  <si>
    <t>https://yandex.com/maps/org/mou_sosh_38/1113508152/</t>
  </si>
  <si>
    <t>https://yandex.com/maps/org/mou_sosh_38/1113508152/reviews/</t>
  </si>
  <si>
    <t>https://2gis.ru/saratov/firm/6052240280256654</t>
  </si>
  <si>
    <t>https://2gis.ru/saratov/firm/6052240280256654/tab/reviews</t>
  </si>
  <si>
    <t>https://shk38-sar.gosuslugi.ru/</t>
  </si>
  <si>
    <t>История; Математика; Русский язык; Обществознание; Информатика</t>
  </si>
  <si>
    <t>54,5 - Средний балл на ЕГЭ в 2025 году</t>
  </si>
  <si>
    <t>43% - Выпускников поступивших в ВУЗы в 2025 году</t>
  </si>
  <si>
    <t>251 - Призеров Всероссийской олимпиады за 3 года</t>
  </si>
  <si>
    <t>https://shk38-sar.gosuslugi.ru/svedeniya-ob-obrazovatelnoy-organizatsii/materialno-tehnicheskoe-obespechenie-dostupnaya-sreda/</t>
  </si>
  <si>
    <t>МАОУ Гимназия №3</t>
  </si>
  <si>
    <t>Гимназия №3</t>
  </si>
  <si>
    <t>ул Большая Казачья, д 121</t>
  </si>
  <si>
    <t>64:48:030351:193</t>
  </si>
  <si>
    <t>https://yandex.com/maps/org/gymnasium_3/1041553719/</t>
  </si>
  <si>
    <t>https://yandex.com/maps/org/gymnasium_3/1041553719/reviews/</t>
  </si>
  <si>
    <t>https://2gis.ru/saratov/firm/6052240280257233</t>
  </si>
  <si>
    <t>https://2gis.ru/saratov/firm/6052240280257233/tab/reviews</t>
  </si>
  <si>
    <t>https://gymn3sar.gosuslugi.ru/</t>
  </si>
  <si>
    <t>Технологический профиль; Гуманитарный профиль; Медицинский класс</t>
  </si>
  <si>
    <t>8 - ЕГЭ по 8 предметам в 2024 году выпускники сдали на 100 баллов</t>
  </si>
  <si>
    <t>44 - победителя и призера муниципального и регионального этапов Всероссийской олимпиады 2023-2024 г</t>
  </si>
  <si>
    <t>https://gymn3sar.gosuslugi.ru/svedeniya-ob-obrazovatelnoy-organizatsii/materialno-tehnicheskoe-obespechenie-dostupnaya-sreda/</t>
  </si>
  <si>
    <t>МОУ Гимназия №89</t>
  </si>
  <si>
    <t>Гимназия №89</t>
  </si>
  <si>
    <t>ул Мало-Елшанская, зд 5</t>
  </si>
  <si>
    <t>64:48:040302:263, 64:48:040124:415, 64:48:040303:55</t>
  </si>
  <si>
    <t>https://yandex.com/maps/org/gimnaziya_89/70848925534/</t>
  </si>
  <si>
    <t>https://yandex.com/maps/org/gimnaziya_89/70848925534/reviews/</t>
  </si>
  <si>
    <t>https://2gis.ru/saratov/firm/6052240280256871</t>
  </si>
  <si>
    <t>https://2gis.ru/saratov/firm/6052240280256871/tab/reviews</t>
  </si>
  <si>
    <t>https://gim89-sar.gosuslugi.ru/</t>
  </si>
  <si>
    <t>11 - Победителей и призеров муниципального и регионального этапов Всероссийской олимпиады школьников</t>
  </si>
  <si>
    <t>МОУ Лицей №56</t>
  </si>
  <si>
    <t>Лицей №56</t>
  </si>
  <si>
    <t>пр-д 3-й Строителей, зд 3</t>
  </si>
  <si>
    <t>64:48:040412:109</t>
  </si>
  <si>
    <t>https://yandex.com/maps/org/lyceum_56/143737145201/</t>
  </si>
  <si>
    <t>https://yandex.com/maps/org/lyceum_56/143737145201/reviews/</t>
  </si>
  <si>
    <t>https://2gis.ru/saratov/firm/6052240280256530</t>
  </si>
  <si>
    <t>https://2gis.ru/saratov/firm/6052240280256530/tab/reviews</t>
  </si>
  <si>
    <t>https://lic56-sar.gosuslugi.ru/</t>
  </si>
  <si>
    <t>74 - Средний балл на ЕГЭ в 2024 - 2025 учебном году</t>
  </si>
  <si>
    <t>11 - Призеров регионального этапа Всероссийской олимпиады за 3 года</t>
  </si>
  <si>
    <t>https://lic56-sar.gosuslugi.ru/svedeniya-ob-obrazovatelnoy-organizatsii/materialno-tehnicheskoe-obespechenie-dostupnaya-sreda/</t>
  </si>
  <si>
    <t>МОУ Лицей №53</t>
  </si>
  <si>
    <t>Лицей №53</t>
  </si>
  <si>
    <t>пр-д 4-й Чернышевского, зд 2</t>
  </si>
  <si>
    <t>64:48:020305:1217</t>
  </si>
  <si>
    <t>https://yandex.com/maps/org/lyceum_53_saratov/1062463037/</t>
  </si>
  <si>
    <t>https://yandex.com/maps/org/lyceum_53_saratov/1062463037/reviews/</t>
  </si>
  <si>
    <t>https://2gis.ru/saratov/firm/6052240280256715</t>
  </si>
  <si>
    <t>https://2gis.ru/saratov/firm/6052240280256715/tab/reviews</t>
  </si>
  <si>
    <t>https://lic53-sar.gosuslugi.ru/</t>
  </si>
  <si>
    <t>Социально-экономический профиль; Технологический профиль; Гуманитарный профиль; Естественно-научный профиль; Инженерный профиль; Информационно-технологический профиль</t>
  </si>
  <si>
    <t>https://lic53-sar.gosuslugi.ru/svedeniya-ob-obrazovatelnoy-organizatsii/materialno-tehnicheskoe-obespechenie-dostupnaya-sreda/</t>
  </si>
  <si>
    <t>Спортивные залы; Стадион</t>
  </si>
  <si>
    <t>МОУ Средняя общеобразовательная школа №76 им. М.Г. Галицкого</t>
  </si>
  <si>
    <t>Школа №76</t>
  </si>
  <si>
    <t>ул Вишневая, зд 16</t>
  </si>
  <si>
    <t>64:48:000000:5939</t>
  </si>
  <si>
    <t>https://yandex.com/maps/org/mou_srednyaya_obshcheobrazovatelnaya_shkola_76/1211441882/</t>
  </si>
  <si>
    <t>https://yandex.com/maps/org/mou_srednyaya_obshcheobrazovatelnaya_shkola_76/1211441882/reviews/</t>
  </si>
  <si>
    <t>https://2gis.ru/saratov/firm/6052240280256855</t>
  </si>
  <si>
    <t>https://2gis.ru/saratov/firm/6052240280256855/tab/reviews</t>
  </si>
  <si>
    <t>https://shk76-sar.gosuslugi.ru/</t>
  </si>
  <si>
    <t>67,8 - Средний балл на ЕГЭ в 2025 году</t>
  </si>
  <si>
    <t>14 - Призеров муниципального этапа Всероссийской олимпиады за 3 года</t>
  </si>
  <si>
    <t>https://shk76-sar.gosuslugi.ru/svedeniya-ob-obrazovatelnoy-organizatsii/materialno-tehnicheskoe-obespechenie-dostupnaya-sreda/</t>
  </si>
  <si>
    <t>МОУ Средняя общеобразовательная школа №41</t>
  </si>
  <si>
    <t>Школа №41</t>
  </si>
  <si>
    <t>ул Тверская, зд 45</t>
  </si>
  <si>
    <t>64:48:030318:343</t>
  </si>
  <si>
    <t>https://yandex.com/maps/org/secondary_school_41/1078289826/</t>
  </si>
  <si>
    <t>https://yandex.com/maps/org/secondary_school_41/1078289826/reviews/</t>
  </si>
  <si>
    <t>https://2gis.ru/saratov/firm/6052240280256673</t>
  </si>
  <si>
    <t>https://2gis.ru/saratov/firm/6052240280256673/tab/reviews</t>
  </si>
  <si>
    <t>https://shk41-sar.gosuslugi.ru/</t>
  </si>
  <si>
    <t>71,0 - Средний балл по русскому языку на ЕГЭ в 2023 году</t>
  </si>
  <si>
    <t>92,3% - Выпускников поступивших в ВУЗы в 2024 году</t>
  </si>
  <si>
    <t>334 - Призеров Всероссийской олимпиады за 3 года</t>
  </si>
  <si>
    <t>https://shk41-sar.gosuslugi.ru/svedeniya-ob-obrazovatelnoy-organizatsii/materialno-tehnicheskoe-obespechenie-dostupnaya-sreda/</t>
  </si>
  <si>
    <t>ГАОУ Физико-технический лицей №1</t>
  </si>
  <si>
    <t>Физико-технический лицей №1</t>
  </si>
  <si>
    <t>ул Железнодорожная, зд 74</t>
  </si>
  <si>
    <t>64:48:050255:228</t>
  </si>
  <si>
    <t>https://yandex.com/maps/org/physico_tehnical_lyceum_1_korpus_2/1034685609/</t>
  </si>
  <si>
    <t>https://yandex.com/maps/org/physico_tehnical_lyceum_1_korpus_2/1034685609/reviews/</t>
  </si>
  <si>
    <t>https://2gis.ru/saratov/firm/6052240280257282</t>
  </si>
  <si>
    <t>https://2gis.ru/saratov/firm/6052240280257282/tab/reviews</t>
  </si>
  <si>
    <t>https://ftl-sar.gosuslugi.ru/</t>
  </si>
  <si>
    <t>Технологический профиль; Естественно-научный профиль</t>
  </si>
  <si>
    <t>5 - Призеров заключительного этапа Всероссийской олимпиады за 3 года</t>
  </si>
  <si>
    <t>https://ftl-sar.gosuslugi.ru/svedeniya-ob-obrazovatelnoy-organizatsii/materialno-tehnicheskoe-obespechenie-dostupnaya-sreda/</t>
  </si>
  <si>
    <t>МАОУ Иволгино</t>
  </si>
  <si>
    <t>Школа Иволгино</t>
  </si>
  <si>
    <t>ул Малая Розовая, зд 2</t>
  </si>
  <si>
    <t>64:48:010111:5120</t>
  </si>
  <si>
    <t>https://yandex.com/maps/org/srednyaya_obshcheobrazovatelnaya_shkola_ivolgino/113743269350/</t>
  </si>
  <si>
    <t>https://yandex.com/maps/org/srednyaya_obshcheobrazovatelnaya_shkola_ivolgino/113743269350/reviews/</t>
  </si>
  <si>
    <t>https://2gis.ru/saratov/firm/70000001064247526</t>
  </si>
  <si>
    <t>https://2gis.ru/saratov/firm/70000001064247526/tab/reviews</t>
  </si>
  <si>
    <t>https://ivolgino.gosuslugi.ru/</t>
  </si>
  <si>
    <t>https://ivolgino.gosuslugi.ru/svedeniya-ob-obrazovatelnoy-organizatsii/materialno-tehnicheskoe-obespechenie-dostupnaya-sreda/</t>
  </si>
  <si>
    <t>Спортивные залы; Бассейн; Спортивные площадки</t>
  </si>
  <si>
    <t>ул Московская, зд 143А</t>
  </si>
  <si>
    <t>64:48:030457:753</t>
  </si>
  <si>
    <t>https://2gis.ru/saratov/firm/70000001035292813</t>
  </si>
  <si>
    <t>https://2gis.ru/saratov/firm/70000001035292813/tab/reviews</t>
  </si>
  <si>
    <t>МАОУ Лицей №62</t>
  </si>
  <si>
    <t>Лицей №62</t>
  </si>
  <si>
    <t>пл Ильинская, зд 1А</t>
  </si>
  <si>
    <t>64:48:000000:5402</t>
  </si>
  <si>
    <t>https://yandex.com/maps/org/maou_lyceum_62/1132108231/</t>
  </si>
  <si>
    <t>https://yandex.com/maps/org/maou_lyceum_62/1132108231/reviews/</t>
  </si>
  <si>
    <t>https://2gis.ru/saratov/firm/6052240280257291</t>
  </si>
  <si>
    <t>https://2gis.ru/saratov/firm/6052240280257291/tab/reviews</t>
  </si>
  <si>
    <t>https://lyceum62.gosuslugi.ru/</t>
  </si>
  <si>
    <t>74 - Средний балл на ЕГЭ в 2025 году</t>
  </si>
  <si>
    <t>99% - Выпускников поступивших в ВУЗы в 2025 году</t>
  </si>
  <si>
    <t>129 - Призеров Всероссийской олимпиады за 3 года</t>
  </si>
  <si>
    <t>https://lyceum62.gosuslugi.ru/svedeniya-ob-obrazovatelnoy-organizatsii/materialno-tehnicheskoe-obespechenie-dostupnaya-sreda/</t>
  </si>
  <si>
    <t>МОУ Гимназия №5</t>
  </si>
  <si>
    <t>Гимназия №5</t>
  </si>
  <si>
    <t>ул Азовская, зд. 15</t>
  </si>
  <si>
    <t>64:48:020462:835</t>
  </si>
  <si>
    <t>https://yandex.com/maps/org/gimnaziya_5/27235900030/</t>
  </si>
  <si>
    <t>https://yandex.com/maps/org/gimnaziya_5/27235900030/reviews/</t>
  </si>
  <si>
    <t>https://2gis.ru/saratov/firm/6052240280256661</t>
  </si>
  <si>
    <t>https://2gis.ru/saratov/firm/6052240280256661/tab/reviews</t>
  </si>
  <si>
    <t>https://gim5-sar.gosuslugi.ru/</t>
  </si>
  <si>
    <t>Гуманитарный профиль; Технологический профиль. 1; Технологический профиль. 2; Универсальный профиль</t>
  </si>
  <si>
    <t>80% - Выпускников поступивших в ВУЗы в 2022 году</t>
  </si>
  <si>
    <t>https://gim5-sar.gosuslugi.ru/svedeniya-ob-obrazovatelnoy-organizatsii/materialno-tehnicheskoe-obespechenie-dostupnaya-sreda/</t>
  </si>
  <si>
    <t>Школа №66 Эврика</t>
  </si>
  <si>
    <t>пос Новосоколовогорский, ул Казанская, зд 29</t>
  </si>
  <si>
    <t>64:48:010135:264</t>
  </si>
  <si>
    <t>https://yandex.com/maps/org/secondary_school_66_named_after_n_i_vavilov_building_eureka/1060813617/</t>
  </si>
  <si>
    <t>https://yandex.com/maps/org/secondary_school_66_named_after_n_i_vavilov_building_eureka/1060813617/reviews/</t>
  </si>
  <si>
    <t>https://2gis.ru/saratov/firm/6052240280599759</t>
  </si>
  <si>
    <t>https://2gis.ru/saratov/firm/6052240280599759/tab/reviews</t>
  </si>
  <si>
    <t>МОУ Средняя общеобразовательная школа №54 им. И.А. Евтеева</t>
  </si>
  <si>
    <t>Школа №54</t>
  </si>
  <si>
    <t>ул Тракторная, зд 33А</t>
  </si>
  <si>
    <t>64:48:030324:59</t>
  </si>
  <si>
    <t>https://yandex.com/maps/org/shkola_54/1797953720/</t>
  </si>
  <si>
    <t>https://yandex.com/maps/org/shkola_54/1797953720/reviews/</t>
  </si>
  <si>
    <t>https://2gis.ru/saratov/firm/6052240280256717</t>
  </si>
  <si>
    <t>https://2gis.ru/saratov/firm/6052240280256717/tab/reviews</t>
  </si>
  <si>
    <t>https://shk54-sar.gosuslugi.ru/</t>
  </si>
  <si>
    <t>Универсальный</t>
  </si>
  <si>
    <t>62,5 - Средний балл на ЕГЭ в 2025 году</t>
  </si>
  <si>
    <t>83% - Выпускников поступивших в ВУЗы в 2025 году</t>
  </si>
  <si>
    <t>135 - Призеров Всероссийской олимпиады за 3 года</t>
  </si>
  <si>
    <t>https://shk54-sar.gosuslugi.ru/svedeniya-ob-obrazovatelnoy-organizatsii/materialno-tehnicheskoe-obespechenie-dostupnaya-sreda/</t>
  </si>
  <si>
    <t>Гуманитарно-экономический лицей</t>
  </si>
  <si>
    <t>ул 1-я Садовая, д 2</t>
  </si>
  <si>
    <t>64:48:010153:298</t>
  </si>
  <si>
    <t>https://yandex.com/maps/org/gumanitarno_ekonomicheskiy_litsey/162780296026/</t>
  </si>
  <si>
    <t>https://yandex.com/maps/org/gumanitarno_ekonomicheskiy_litsey/162780296026/reviews/</t>
  </si>
  <si>
    <t>https://2gis.ru/saratov/firm/6052240280257292</t>
  </si>
  <si>
    <t>https://2gis.ru/saratov/firm/6052240280257292/tab/reviews</t>
  </si>
  <si>
    <t>МАОУ Гимназия №31</t>
  </si>
  <si>
    <t>Гимназия №31</t>
  </si>
  <si>
    <t>ул Лесная, зд 1/9</t>
  </si>
  <si>
    <t>64:48:020409:2020</t>
  </si>
  <si>
    <t>https://yandex.com/maps/org/gimnaziya_31/1053734696/</t>
  </si>
  <si>
    <t>https://yandex.com/maps/org/gimnaziya_31/1053734696/reviews/</t>
  </si>
  <si>
    <t>https://2gis.ru/saratov/firm/6052240280256624</t>
  </si>
  <si>
    <t>https://2gis.ru/saratov/firm/6052240280256624/tab/reviews</t>
  </si>
  <si>
    <t>https://gim31-sar.gosuslugi.ru/</t>
  </si>
  <si>
    <t>Социально-экономический профиль; Технологический профиль; Естественно-научный профиль</t>
  </si>
  <si>
    <t>62,7 - Средний балл на ЕГЭ в 2024 году</t>
  </si>
  <si>
    <t>90% - Выпускников поступивших в ВУЗы в 2024 году</t>
  </si>
  <si>
    <t>64 - Призеров Всероссийской олимпиады за 3 года</t>
  </si>
  <si>
    <t>МОУ Лицей №50 им. Загороднева В.И.</t>
  </si>
  <si>
    <t>Лицей №50</t>
  </si>
  <si>
    <t>ул Загороднева, зд 16</t>
  </si>
  <si>
    <t>64:48:040332:31</t>
  </si>
  <si>
    <t>https://yandex.com/maps/org/lyceum_50/158041622369/</t>
  </si>
  <si>
    <t>https://yandex.com/maps/org/lyceum_50/158041622369/reviews/</t>
  </si>
  <si>
    <t>https://2gis.ru/saratov/firm/6052240280256702</t>
  </si>
  <si>
    <t>https://2gis.ru/saratov/firm/6052240280256702/tab/reviews</t>
  </si>
  <si>
    <t>https://lic50-sar.gosuslugi.ru/</t>
  </si>
  <si>
    <t>Математический профиль</t>
  </si>
  <si>
    <t>69 - Средний балл на ЕГЭ в 2024 году</t>
  </si>
  <si>
    <t>27 - Выпускников поступивших в ВУЗы в 2024 году</t>
  </si>
  <si>
    <t>https://lic50-sar.gosuslugi.ru/svedeniya-ob-obrazovatelnoy-organizatsii/materialno-tehnicheskoe-obespechenie-dostupnaya-sreda/</t>
  </si>
  <si>
    <t>МОУ Средняя общеобразовательная школа №46 Городские Просторы</t>
  </si>
  <si>
    <t>Школа №46 Городские Просторы</t>
  </si>
  <si>
    <t>ул Евгения Долгина, зд 5</t>
  </si>
  <si>
    <t>64:48:040442:3779</t>
  </si>
  <si>
    <t>https://yandex.com/maps/org/srednyaya_shkola_46_korpus_2_gorodskiye_prostory/39057501147/</t>
  </si>
  <si>
    <t>https://yandex.com/maps/org/srednyaya_shkola_46_korpus_2_gorodskiye_prostory/39057501147/reviews/</t>
  </si>
  <si>
    <t>https://2gis.ru/saratov/firm/70000001092731870</t>
  </si>
  <si>
    <t>https://2gis.ru/saratov/firm/70000001092731870/tab/reviews</t>
  </si>
  <si>
    <t>https://sch46-saratov.gosuslugi.ru/</t>
  </si>
  <si>
    <t>60,4 - Средний балл на ЕГЭ в 2024 году</t>
  </si>
  <si>
    <t>72% - Выпускников поступивших на бюджет в ВУЗы в 2024 году</t>
  </si>
  <si>
    <t>13 - Призеров Всероссийской олимпиады за 3 года</t>
  </si>
  <si>
    <t>https://sch46-saratov.gosuslugi.ru/svedeniya-ob-obrazovatelnoy-organizatsii/materialno-tehnicheskoe-obespechenie-dostupnaya-sreda/</t>
  </si>
  <si>
    <t>МАОУ Медико-биологический лицей</t>
  </si>
  <si>
    <t>Медико-биологический лицей</t>
  </si>
  <si>
    <t>ул Блинова, зд 27</t>
  </si>
  <si>
    <t>64:48:040420:108</t>
  </si>
  <si>
    <t>https://yandex.com/maps/org/maou_mediko_biologichesky_litsey_goroda_saratova/1174614164/</t>
  </si>
  <si>
    <t>https://yandex.com/maps/org/maou_mediko_biologichesky_litsey_goroda_saratova/1174614164/reviews/</t>
  </si>
  <si>
    <t>https://2gis.ru/saratov/firm/6052240280266524</t>
  </si>
  <si>
    <t>https://2gis.ru/saratov/firm/6052240280266524/tab/reviews</t>
  </si>
  <si>
    <t>https://mbl-sar.gosuslugi.ru/</t>
  </si>
  <si>
    <t>82/75,15 - Средний балл на ЕГЭ в 2022 году по русскому языку/общий</t>
  </si>
  <si>
    <t>100% - Выпускников, поступивших в ВУЗы в 2022 году</t>
  </si>
  <si>
    <t>11/109 - Победителей и призеров Всероссийской олимпиады за 3 года (муниципальный и региональный уровни)</t>
  </si>
  <si>
    <t>https://mbl-sar.gosuslugi.ru/svedeniya-ob-obrazovatelnoy-organizatsii/materialno-tehnicheskoe-obespechenie-dostupnaya-sreda/</t>
  </si>
  <si>
    <t>ГАОУ Средняя общеобразовательная школа №2 с углубленным изучением отдельных предметов им. В.П. Тихонова</t>
  </si>
  <si>
    <t>Школа №2</t>
  </si>
  <si>
    <t>ул Мичурина, д 16</t>
  </si>
  <si>
    <t>64:48:000000:15966</t>
  </si>
  <si>
    <t>https://yandex.com/maps/org/shkola_2_s_uglublennym_izucheniyem_otdelnykh_predmetov_im_v_p_tikhonova/83182503409/</t>
  </si>
  <si>
    <t>https://yandex.com/maps/org/shkola_2_s_uglublennym_izucheniyem_otdelnykh_predmetov_im_v_p_tikhonova/83182503409/reviews/</t>
  </si>
  <si>
    <t>https://2gis.ru/saratov/firm/6052240280256534</t>
  </si>
  <si>
    <t>https://2gis.ru/saratov/firm/6052240280256534/tab/reviews</t>
  </si>
  <si>
    <t>https://shk2-sar.gosuslugi.ru/</t>
  </si>
  <si>
    <t>Социально-экономический профиль; Естественно-научный профиль; Технологический профиль</t>
  </si>
  <si>
    <t>68 - Средний балл по русскому языку на ЕГЭ в 2025 году</t>
  </si>
  <si>
    <t>93% - Выпускников поступили в ВУЗы в 2024 году</t>
  </si>
  <si>
    <t>https://shk2-sar.gosuslugi.ru/svedeniya-ob-obrazovatelnoy-organizatsii/materialno-tehnicheskoe-obespechenie-dostupnaya-sreda/</t>
  </si>
  <si>
    <t>МОУ Средняя общеобразовательная школа №73 им. К.Д. Шукшина</t>
  </si>
  <si>
    <t>Школа №73</t>
  </si>
  <si>
    <t>пр-д 2-й Магнитный, д 44</t>
  </si>
  <si>
    <t>64:48:030225:1389</t>
  </si>
  <si>
    <t>https://yandex.com/maps/org/secondary_school_73/1032739814/</t>
  </si>
  <si>
    <t>https://yandex.com/maps/org/secondary_school_73/1032739814/reviews/</t>
  </si>
  <si>
    <t>https://2gis.ru/saratov/firm/6052240280256848</t>
  </si>
  <si>
    <t>https://2gis.ru/saratov/firm/6052240280256848/tab/reviews</t>
  </si>
  <si>
    <t>https://shk73-sar.gosuslugi.ru/</t>
  </si>
  <si>
    <t>История; Математика; Русский язык; Универсальный профиль</t>
  </si>
  <si>
    <t>63,2 - Средний балл на ЕГЭ в 2023 году</t>
  </si>
  <si>
    <t>84% - Выпускников поступивших в ВУЗы в 2023 году</t>
  </si>
  <si>
    <t>https://shk73-sar.gosuslugi.ru/svedeniya-ob-obrazovatelnoy-organizatsii/materialno-tehnicheskoe-obespechenie-dostupnaya-sreda/</t>
  </si>
  <si>
    <t>МОУ Средняя общеобразовательная школа №80 Ласточкино</t>
  </si>
  <si>
    <t>Школа №80 Ласточкино</t>
  </si>
  <si>
    <t>ул Романтиков, зд 85</t>
  </si>
  <si>
    <t>64:48:040424:1903</t>
  </si>
  <si>
    <t>https://yandex.com/maps/org/srednyaya_obshcheobrazovatelnaya_shkola_80_lastochkino/10978663729/</t>
  </si>
  <si>
    <t>https://yandex.com/maps/org/srednyaya_obshcheobrazovatelnaya_shkola_80_lastochkino/10978663729/reviews/</t>
  </si>
  <si>
    <t>https://2gis.ru/saratov/firm/70000001079218611</t>
  </si>
  <si>
    <t>https://2gis.ru/saratov/firm/70000001079218611/tab/reviews</t>
  </si>
  <si>
    <t>https://sh-80-lastochkino-saratov-r64.gosweb.gosuslugi.ru/</t>
  </si>
  <si>
    <t>https://sh-80-lastochkino-saratov-r64.gosweb.gosuslugi.ru/svedeniya-ob-obrazovatelnoy-organizatsii/materialno-tehnicheskoe-obespechenie-dostupnaya-sreda/</t>
  </si>
  <si>
    <t>Спортивный зал; Бассейн; Спортивная площадка</t>
  </si>
  <si>
    <t>МОУ Средняя общеобразовательная школа №103</t>
  </si>
  <si>
    <t>Школа №103</t>
  </si>
  <si>
    <t xml:space="preserve">ул Производственная, зд 5 </t>
  </si>
  <si>
    <t>64:48:040421:9436, 64:48:040417:156</t>
  </si>
  <si>
    <t>https://yandex.com/maps/org/secondary_school_103/1010150388/</t>
  </si>
  <si>
    <t>https://yandex.com/maps/org/secondary_school_103/1010150388/reviews/</t>
  </si>
  <si>
    <t>https://2gis.ru/saratov/firm/6052240280256541</t>
  </si>
  <si>
    <t>https://2gis.ru/saratov/firm/6052240280256541/tab/reviews</t>
  </si>
  <si>
    <t>https://shk103-sar.gosuslugi.ru/</t>
  </si>
  <si>
    <t>60,8 - Средний балл на ЕГЭ в 2021 году</t>
  </si>
  <si>
    <t>89% - Выпускников поступивших в ВУЗы в 2021 году</t>
  </si>
  <si>
    <t>82 - Призеров Всероссийской олимпиады школьников муниципального и регионального этапов за 3 года</t>
  </si>
  <si>
    <t>https://shk103-sar.gosuslugi.ru/svedeniya-ob-obrazovatelnoy-organizatsii/materialno-tehnicheskoe-obespechenie-dostupnaya-sreda/</t>
  </si>
  <si>
    <t>МАОУ Гимназия №108</t>
  </si>
  <si>
    <t>Гимназия №108</t>
  </si>
  <si>
    <t>пр-кт 50 лет Октября, зд 107</t>
  </si>
  <si>
    <t>64:48:040808:35</t>
  </si>
  <si>
    <t>https://yandex.com/maps/org/gimnaziya_108/1067532669/</t>
  </si>
  <si>
    <t>https://yandex.com/maps/org/gimnaziya_108/1067532669/reviews/</t>
  </si>
  <si>
    <t>https://2gis.ru/saratov/firm/6052240280256545</t>
  </si>
  <si>
    <t>https://2gis.ru/saratov/firm/6052240280256545/tab/reviews</t>
  </si>
  <si>
    <t>https://gim108-sar.gosuslugi.ru/</t>
  </si>
  <si>
    <t>60,3 - Средний балл на ЕГЭ в 2025 году</t>
  </si>
  <si>
    <t>88% - Выпускников поступивших в ВУЗы в 2025 году</t>
  </si>
  <si>
    <t>58 - Призеров Всероссийской олимпиады за 3 года</t>
  </si>
  <si>
    <t>https://gim108-sar.gosuslugi.ru/svedeniya-ob-obrazovatelnoy-organizatsii/materialno-tehnicheskoe-obespechenie-dostupnaya-sreda/</t>
  </si>
  <si>
    <t>МОУ Средняя общеобразовательная школа №49</t>
  </si>
  <si>
    <t>Школа №49</t>
  </si>
  <si>
    <t>ул Перспективная, зд 10А</t>
  </si>
  <si>
    <t>64:48:040408:351</t>
  </si>
  <si>
    <t>https://yandex.com/maps/org/mou_sosh_49_leninskogo_rayona_goroda_saratova/2392968816/</t>
  </si>
  <si>
    <t>https://yandex.com/maps/org/mou_sosh_49_leninskogo_rayona_goroda_saratova/2392968816/reviews/</t>
  </si>
  <si>
    <t>https://2gis.ru/saratov/firm/6052240280256686</t>
  </si>
  <si>
    <t>https://2gis.ru/saratov/firm/6052240280256686/tab/reviews</t>
  </si>
  <si>
    <t>https://shk49-sar.gosuslugi.ru/</t>
  </si>
  <si>
    <t>53,9 - Средний балл на ЕГЭ в 2025 году</t>
  </si>
  <si>
    <t>75 % - Выпускников поступивших в ВУЗы в 2025 году</t>
  </si>
  <si>
    <t>https://shk49-sar.gosuslugi.ru/svedeniya-ob-obrazovatelnoy-organizatsii/materialno-tehnicheskoe-obespechenie-dostupnaya-sreda/</t>
  </si>
  <si>
    <t>МОУ Лицей №47 им. К.В. Благодарова</t>
  </si>
  <si>
    <t>Лицей №47</t>
  </si>
  <si>
    <t>ул 3 Степная, зд 6</t>
  </si>
  <si>
    <t>64:48:040230:85</t>
  </si>
  <si>
    <t>https://yandex.com/maps/org/lyceum_47/1043541140/</t>
  </si>
  <si>
    <t>https://yandex.com/maps/org/lyceum_47/1043541140/reviews/</t>
  </si>
  <si>
    <t>https://2gis.ru/saratov/firm/6052240280256683</t>
  </si>
  <si>
    <t>https://2gis.ru/saratov/firm/6052240280256683/tab/reviews</t>
  </si>
  <si>
    <t>https://lic47-sar.gosuslugi.ru/</t>
  </si>
  <si>
    <t>Физика; Математика; Русский язык</t>
  </si>
  <si>
    <t>100 - Максимальный балл на ЕГЭ в 2024 году</t>
  </si>
  <si>
    <t>88 % - Выпускников поступивших в ВУЗы в 2024 году</t>
  </si>
  <si>
    <t>40 - Призеров муниципального этапа Всероссийской олимпиады за 3 года</t>
  </si>
  <si>
    <t>МАОУ Лицей Солярис</t>
  </si>
  <si>
    <t>Лицей Солярис корпус 2</t>
  </si>
  <si>
    <t>пр-кт Героев Отечества, зд 11А</t>
  </si>
  <si>
    <t>64:48:030101:18539</t>
  </si>
  <si>
    <t>https://2gis.ru/saratov/firm/70000001055487050</t>
  </si>
  <si>
    <t>https://2gis.ru/saratov/firm/70000001055487050/tab/reviews</t>
  </si>
  <si>
    <t>https://solaris.gosuslugi.ru/</t>
  </si>
  <si>
    <t>МАОУ Лицей Звезда</t>
  </si>
  <si>
    <t>Лицей Звезда</t>
  </si>
  <si>
    <t>ул Техническая, зд 3/1</t>
  </si>
  <si>
    <t>64:48:030204:1360</t>
  </si>
  <si>
    <t>https://yandex.com/maps/org/zvezda/192903085019/</t>
  </si>
  <si>
    <t>https://yandex.com/maps/org/zvezda/192903085019/reviews/</t>
  </si>
  <si>
    <t>https://2gis.ru/saratov/firm/70000001043610537</t>
  </si>
  <si>
    <t>https://2gis.ru/saratov/firm/70000001043610537/tab/reviews</t>
  </si>
  <si>
    <t>https://zvezda-sar.gosuslugi.ru/</t>
  </si>
  <si>
    <t>https://zvezda-sar.gosuslugi.ru/svedeniya-ob-obrazovatelnoy-organizatsii/materialno-tehnicheskoe-obespechenie-dostupnaya-sreda/</t>
  </si>
  <si>
    <t>МОУ Средняя общеобразовательная школа №72</t>
  </si>
  <si>
    <t>Школа №72</t>
  </si>
  <si>
    <t>ул Бережная, зд 1</t>
  </si>
  <si>
    <t>64:48:040805:740</t>
  </si>
  <si>
    <t>https://yandex.com/maps/org/srednyaya_obshcheobrazovatelnaya_shkola_72/83700291925/</t>
  </si>
  <si>
    <t>https://yandex.com/maps/org/srednyaya_obshcheobrazovatelnaya_shkola_72/83700291925/reviews/</t>
  </si>
  <si>
    <t>https://2gis.ru/saratov/firm/6052240280256845</t>
  </si>
  <si>
    <t>https://2gis.ru/saratov/firm/6052240280256845/tab/reviews</t>
  </si>
  <si>
    <t>https://shkola-72-sar.gosuslugi.ru/</t>
  </si>
  <si>
    <t>Информатика и ИКТ; Математика; Физика; Право; Экономика; Химия; Биология</t>
  </si>
  <si>
    <t>https://shkola-72-sar.gosuslugi.ru/svedeniya-ob-obrazovatelnoy-organizatsii/materialno-tehnicheskoe-obespechenie-dostupnaya-sreda/</t>
  </si>
  <si>
    <t>МАОУ Гимназия №87</t>
  </si>
  <si>
    <t>Гимназия №87</t>
  </si>
  <si>
    <t>ул Перспективная, д 9а</t>
  </si>
  <si>
    <t>64:48:040408:305</t>
  </si>
  <si>
    <t>https://yandex.com/maps/org/gimnaziya_87/1044478710/</t>
  </si>
  <si>
    <t>https://yandex.com/maps/org/gimnaziya_87/1044478710/reviews/</t>
  </si>
  <si>
    <t>https://2gis.ru/saratov/firm/6052240280257238</t>
  </si>
  <si>
    <t>https://2gis.ru/saratov/firm/6052240280257238/tab/reviews</t>
  </si>
  <si>
    <t>https://gim87-sar.gosuslugi.ru/</t>
  </si>
  <si>
    <t>69,73 - Средний балл на ЕГЭ в 2025 году</t>
  </si>
  <si>
    <t>98,4 % - Выпускников поступивших в ВУЗы в 2025 году</t>
  </si>
  <si>
    <t>Школа-предуниверситариум СГУ</t>
  </si>
  <si>
    <t>ул Разина, зд 73</t>
  </si>
  <si>
    <t>64:48:030347:281</t>
  </si>
  <si>
    <t>https://yandex.com/maps/org/litsey_internat_64/98803499793/</t>
  </si>
  <si>
    <t>https://yandex.com/maps/org/litsey_internat_64/98803499793/reviews/</t>
  </si>
  <si>
    <t>нету в excel</t>
  </si>
  <si>
    <t>МОУ Гимназия Авиатор</t>
  </si>
  <si>
    <t>Гимназия Авиатор</t>
  </si>
  <si>
    <t>бульв Денисова Николая, зд 4</t>
  </si>
  <si>
    <t>64:48:020314:5563</t>
  </si>
  <si>
    <t>https://yandex.com/maps/org/gymnasium_34_aviator_branch/85144212428/</t>
  </si>
  <si>
    <t>https://yandex.com/maps/org/gymnasium_34_aviator_branch/85144212428/reviews/</t>
  </si>
  <si>
    <t>https://2gis.ru/saratov/firm/70000001045221097</t>
  </si>
  <si>
    <t>https://2gis.ru/saratov/firm/70000001045221097/tab/reviews</t>
  </si>
  <si>
    <t>https://aviator-sar.gosuslugi.ru/</t>
  </si>
  <si>
    <t>https://aviator-sar.gosuslugi.ru/svedeniya-ob-obrazovatelnoy-organizatsii/materialno-tehnicheskoe-obespechenie-dostupnaya-sreda/</t>
  </si>
  <si>
    <t>ГАОУ Лицей гуманитарных наук</t>
  </si>
  <si>
    <t>Лицей гуманитарных наук</t>
  </si>
  <si>
    <t>ул Большая Садовая, зд 224А</t>
  </si>
  <si>
    <t>64:48:030334:87, 64:48:000000:216392, 64:48:030333:105, 64:48:030334:71</t>
  </si>
  <si>
    <t>https://yandex.com/maps/org/lyceum_of_humanities/1008160365/</t>
  </si>
  <si>
    <t>https://yandex.com/maps/org/lyceum_of_humanities/1008160365/reviews/</t>
  </si>
  <si>
    <t>https://2gis.ru/saratov/firm/6052240280266608</t>
  </si>
  <si>
    <t>https://2gis.ru/saratov/firm/6052240280266608/tab/reviews</t>
  </si>
  <si>
    <t>https://lgn-sar.gosuslugi.ru/</t>
  </si>
  <si>
    <t>Гуманитарный профиль; Естественно-научный профиль</t>
  </si>
  <si>
    <t>83 % - Средний балл ЕГЭ английский язык - 2023/2024</t>
  </si>
  <si>
    <t>25 - Призеров Всероссийской олимпиады - 2023-2024</t>
  </si>
  <si>
    <t>МОУ Лицей прикладных наук им. Д.И. Трубецкова</t>
  </si>
  <si>
    <t>Лицей прикладных наук</t>
  </si>
  <si>
    <t>ул Комсомольская, зд 39</t>
  </si>
  <si>
    <t>64:48:010321:27</t>
  </si>
  <si>
    <t>https://yandex.com/maps/org/litsey_prikladnykh_nauk/1061363313/</t>
  </si>
  <si>
    <t>https://yandex.com/maps/org/litsey_prikladnykh_nauk/1061363313/reviews/</t>
  </si>
  <si>
    <t>https://2gis.ru/saratov/firm/6052240280266628</t>
  </si>
  <si>
    <t>https://2gis.ru/saratov/firm/6052240280266628/tab/reviews</t>
  </si>
  <si>
    <t>https://moulpn.gosuslugi.ru/</t>
  </si>
  <si>
    <t>71.3 - Средний балл на ЕГЭ в 2025 году</t>
  </si>
  <si>
    <t>https://moulpn.gosuslugi.ru/svedeniya-ob-obrazovatelnoy-organizatsii/materialno-tehnicheskoe-obespechenie-dostupnaya-sreda/</t>
  </si>
  <si>
    <t>МАОУ Средняя общеобразовательная школа №16</t>
  </si>
  <si>
    <t>Школа №16</t>
  </si>
  <si>
    <t>ул Брянская, д 3</t>
  </si>
  <si>
    <t>64:48:020445:373</t>
  </si>
  <si>
    <t>https://yandex.com/maps/org/kadetskaya_shkola_16/1781697901/</t>
  </si>
  <si>
    <t>https://yandex.com/maps/org/kadetskaya_shkola_16/1781697901/reviews/</t>
  </si>
  <si>
    <t>https://2gis.ru/saratov/firm/6052240280256552</t>
  </si>
  <si>
    <t>https://2gis.ru/saratov/firm/6052240280256552/tab/reviews</t>
  </si>
  <si>
    <t>https://shk16-sar.gosuslugi.ru/</t>
  </si>
  <si>
    <t>47,8 - Средний балл на ЕГЭ в 2021 году</t>
  </si>
  <si>
    <t>63% - Выпускников поступивших в ВУЗы в 2021-2022 году</t>
  </si>
  <si>
    <t>115 - Призеров Всероссийской олимпиады за 3 года</t>
  </si>
  <si>
    <t>https://shk16-sar.gosuslugi.ru/svedeniya-ob-obrazovatelnoy-organizatsii/materialno-tehnicheskoe-obespechenie-dostupnaya-sreda/</t>
  </si>
  <si>
    <t>ГБСУ СО Школа Уникум</t>
  </si>
  <si>
    <t>Школа-интернат Уникум</t>
  </si>
  <si>
    <t>ул Железнодорожная, зд 29</t>
  </si>
  <si>
    <t>64:48:060202:30, 64:48:060202:29</t>
  </si>
  <si>
    <t>https://yandex.com/maps/org/shkola_unikum/1031121342/</t>
  </si>
  <si>
    <t>https://yandex.com/maps/org/shkola_unikum/1031121342/reviews/</t>
  </si>
  <si>
    <t>https://2gis.ru/saratov/firm/6052240280266763</t>
  </si>
  <si>
    <t>https://2gis.ru/saratov/firm/6052240280266763/tab/reviews</t>
  </si>
  <si>
    <t>https://unikum64.gosuslugi.ru/</t>
  </si>
  <si>
    <t>https://unikum64.gosuslugi.ru/svedeniya-ob-obrazovatelnoy-organizatsii/materialno-tehnicheskoe-obespechenie-dostupnaya-sreda/</t>
  </si>
  <si>
    <t>Спортивный зал; Зал АФК; Спортивная площадка</t>
  </si>
  <si>
    <t>МОУ Лицей №4</t>
  </si>
  <si>
    <t>Лицей №4</t>
  </si>
  <si>
    <t>ул Радищева, д 64/32</t>
  </si>
  <si>
    <t>Часть здания</t>
  </si>
  <si>
    <t>64:48:030342:4820</t>
  </si>
  <si>
    <t>https://yandex.com/maps/org/national_tatar_gymnasium/223623648005/</t>
  </si>
  <si>
    <t>https://yandex.com/maps/org/national_tatar_gymnasium/223623648005/reviews/</t>
  </si>
  <si>
    <t>https://2gis.ru/saratov/firm/6052240280256669</t>
  </si>
  <si>
    <t>https://2gis.ru/saratov/firm/6052240280256669/tab/reviews</t>
  </si>
  <si>
    <t>https://lic4-sar.gosuslugi.ru/</t>
  </si>
  <si>
    <t>Гуманитарный профиль; Технологический профиль (физико-математическое направление); Технологический профиль (химико-биологическое направление)</t>
  </si>
  <si>
    <t>100% - выпускников, поступивших в ВУЗы в 2025 году</t>
  </si>
  <si>
    <t>159 - призеров муниципального этапа всероссийской олимпиады школьников за 3 года; 11 - призеров регионального этапа всероссийской олимпиады школьников за 3 года</t>
  </si>
  <si>
    <t>Лицей №3</t>
  </si>
  <si>
    <t>ул Советская, д 46</t>
  </si>
  <si>
    <t>64:48:050301:284</t>
  </si>
  <si>
    <t>https://yandex.com/maps/org/litsey_3_im_a_s_pushkina/1021305516/</t>
  </si>
  <si>
    <t>https://yandex.com/maps/org/litsey_3_im_a_s_pushkina/1021305516/reviews/</t>
  </si>
  <si>
    <t>https://2gis.ru/saratov/firm/6052240280257712</t>
  </si>
  <si>
    <t>https://2gis.ru/saratov/firm/6052240280257712/tab/reviews</t>
  </si>
  <si>
    <t>https://lic3-sar.gosuslugi.ru/</t>
  </si>
  <si>
    <t>Технологический профиль (физико-математическое направление); Технологический профиль (химико-биологическое направление); Социально-экономический профиль; Психолого-педагогический профиль</t>
  </si>
  <si>
    <t>92% - Выпускников поступивших в ВУЗы в 2024 году</t>
  </si>
  <si>
    <t>12 - Призеров регионального этапа Всероссийской олимпиады за 3 года</t>
  </si>
  <si>
    <t>https://lic3-sar.gosuslugi.ru/svedeniya-ob-obrazovatelnoy-organizatsii/materialno-tehnicheskoe-obespechenie-dostupnaya-sreda/</t>
  </si>
  <si>
    <t>МАОУ Гимназия №4 им. Героя Советского Союза В.М. Безбокова</t>
  </si>
  <si>
    <t>Гимназия №4</t>
  </si>
  <si>
    <t>ул Вознесенская, зд 5</t>
  </si>
  <si>
    <t>64:48:010220:64, 64:48:000000:23232</t>
  </si>
  <si>
    <t>https://yandex.com/maps/org/gymnasium_4/1110657902/</t>
  </si>
  <si>
    <t>https://yandex.com/maps/org/gymnasium_4/1110657902/reviews/</t>
  </si>
  <si>
    <t>https://2gis.ru/saratov/firm/6052240280257235</t>
  </si>
  <si>
    <t>https://2gis.ru/saratov/firm/6052240280257235/tab/reviews</t>
  </si>
  <si>
    <t>https://shk102-sar.gosuslugi.ru/</t>
  </si>
  <si>
    <t>56,81 - Средний балл на ЕГЭ в 2025 году</t>
  </si>
  <si>
    <t>55% - Выпускников поступивших в ВУЗы в 2025 году</t>
  </si>
  <si>
    <t>https://shk102-sar.gosuslugi.ru/svedeniya-ob-obrazovatelnoy-organizatsii/materialno-tehnicheskoe-obespechenie-dostupnaya-sreda/</t>
  </si>
  <si>
    <t>МОУ Средняя общеобразовательная школа №97 им. Героя Советского Союза В.Г. Клочкова</t>
  </si>
  <si>
    <t>Школа №97</t>
  </si>
  <si>
    <t>ул Клочкова, д 77</t>
  </si>
  <si>
    <t>64:48:050140:82</t>
  </si>
  <si>
    <t>https://yandex.com/maps/org/mou_97/85769787611/</t>
  </si>
  <si>
    <t>https://yandex.com/maps/org/mou_97/85769787611/reviews/</t>
  </si>
  <si>
    <t>https://2gis.ru/saratov/firm/6052240280256886</t>
  </si>
  <si>
    <t>https://2gis.ru/saratov/firm/6052240280256886/tab/reviews</t>
  </si>
  <si>
    <t>https://shk97-sar.gosuslugi.ru/</t>
  </si>
  <si>
    <t>86 - максимальное количество баллов по ЕГЭ в 2024 году</t>
  </si>
  <si>
    <t>79% - Выпускников поступивших в ВУЗы в 2024 году</t>
  </si>
  <si>
    <t>https://shk97-sar.gosuslugi.ru/svedeniya-ob-obrazovatelnoy-organizatsii/materialno-tehnicheskoe-obespechenie-dostupnaya-sreda/</t>
  </si>
  <si>
    <t>МОУ Средняя общеобразовательная школа №52</t>
  </si>
  <si>
    <t>Школа №52</t>
  </si>
  <si>
    <t>ул Широкая, зд 34</t>
  </si>
  <si>
    <t>64:48:000000:1126</t>
  </si>
  <si>
    <t>https://2gis.ru/saratov/firm/6052240280256712</t>
  </si>
  <si>
    <t>https://2gis.ru/saratov/firm/6052240280256712/tab/reviews</t>
  </si>
  <si>
    <t>https://shk52-sar.gosuslugi.ru/</t>
  </si>
  <si>
    <t>Математика; ОБЩЕСТВОЗНАНИЕ</t>
  </si>
  <si>
    <t>68,9 - Средний балл на ЕГЭ в 2023 году</t>
  </si>
  <si>
    <t>90 % - Поступили в ВУЗы в 2024 году</t>
  </si>
  <si>
    <t>МАОУ Средняя общеобразовательная школа №23 им. С.В. Астраханцева</t>
  </si>
  <si>
    <t>Школа №23</t>
  </si>
  <si>
    <t>пр-д 5-й Нагорный, зд 3 стр 1</t>
  </si>
  <si>
    <t>64:48:020608:53</t>
  </si>
  <si>
    <t>https://yandex.com/maps/org/srednyaya_obshcheobrazovatelnaya_shkola_23/189525180132/</t>
  </si>
  <si>
    <t>https://yandex.com/maps/org/srednyaya_obshcheobrazovatelnaya_shkola_23/189525180132/reviews/</t>
  </si>
  <si>
    <t>https://2gis.ru/saratov/firm/6052240280256561</t>
  </si>
  <si>
    <t>https://2gis.ru/saratov/firm/6052240280256561/tab/reviews</t>
  </si>
  <si>
    <t>https://school23saratov.gosuslugi.ru/</t>
  </si>
  <si>
    <t>87,5 % - Выпускников поступивших в ВУЗы в 2025 году</t>
  </si>
  <si>
    <t>10 - Призеров Всероссийской олимпиады за 3 года</t>
  </si>
  <si>
    <t>https://school23saratov.gosuslugi.ru/svedeniya-ob-obrazovatelnoy-organizatsii/materialno-tehnicheskoe-obespechenie-dostupnaya-sreda/</t>
  </si>
  <si>
    <t>МОУ Средняя общеобразовательная школа №8 Волжского района г. Саратова</t>
  </si>
  <si>
    <t>Школа №8</t>
  </si>
  <si>
    <t>ул Соборная, зд 33</t>
  </si>
  <si>
    <t>64:48:000000:44531, 64:48:000000:44525</t>
  </si>
  <si>
    <t>https://yandex.com/maps/org/mou_sosh_8/1100719618/</t>
  </si>
  <si>
    <t>https://yandex.com/maps/org/mou_sosh_8/1100719618/reviews/</t>
  </si>
  <si>
    <t>https://2gis.ru/saratov/firm/6052240280263676</t>
  </si>
  <si>
    <t>https://2gis.ru/saratov/firm/6052240280263676/tab/reviews</t>
  </si>
  <si>
    <t>МОУ Средняя общеобразовательная школа №11</t>
  </si>
  <si>
    <t>Школа №11</t>
  </si>
  <si>
    <t>пр-д 1-й Соколовогорский, зд 2А</t>
  </si>
  <si>
    <t>64:48:010149:14</t>
  </si>
  <si>
    <t>https://2gis.ru/saratov/firm/6052240280256546</t>
  </si>
  <si>
    <t>https://2gis.ru/saratov/firm/6052240280256546/tab/reviews</t>
  </si>
  <si>
    <t>https://shk11-sar.gosuslugi.ru/</t>
  </si>
  <si>
    <t>53,7 - Средний балл на ЕГЭ в 2025 году</t>
  </si>
  <si>
    <t>27 - Призеров муниципального этапа Всероссийской олимпиады за 3 года</t>
  </si>
  <si>
    <t>https://shk11-sar.gosuslugi.ru/svedeniya-ob-obrazovatelnoy-organizatsii/materialno-tehnicheskoe-obespechenie-dostupnaya-sreda/</t>
  </si>
  <si>
    <t>МОУ Средняя общеобразовательная школа №101</t>
  </si>
  <si>
    <t>Школа №101</t>
  </si>
  <si>
    <t>ул Лебедева-Кумача, д 73А</t>
  </si>
  <si>
    <t>64:48:040406:8146</t>
  </si>
  <si>
    <t>https://yandex.com/maps/org/srednyaya_obshcheobrazovatelnaya_shkola_101/1049005491/</t>
  </si>
  <si>
    <t>https://yandex.com/maps/org/srednyaya_obshcheobrazovatelnaya_shkola_101/1049005491/reviews/</t>
  </si>
  <si>
    <t>https://2gis.ru/saratov/firm/6052240280256539</t>
  </si>
  <si>
    <t>https://2gis.ru/saratov/firm/6052240280256539/tab/reviews</t>
  </si>
  <si>
    <t>https://shk101-sar.gosuslugi.ru/</t>
  </si>
  <si>
    <t>51,0 - Средний балл на ЕГЭ в 2025 году</t>
  </si>
  <si>
    <t>73% - Выпускников поступивших в ВУЗы в 2025 году</t>
  </si>
  <si>
    <t>https://shk101-sar.gosuslugi.ru/svedeniya-ob-obrazovatelnoy-organizatsii/materialno-tehnicheskoe-obespechenie-dostupnaya-sreda/</t>
  </si>
  <si>
    <t>ГАОУ Гимназия №1</t>
  </si>
  <si>
    <t>Гимназия №1</t>
  </si>
  <si>
    <t>ул Мичурина, д 88</t>
  </si>
  <si>
    <t>64:48:050359:525</t>
  </si>
  <si>
    <t>https://yandex.com/maps/org/gymnasium_1/1074329395/</t>
  </si>
  <si>
    <t>https://yandex.com/maps/org/gymnasium_1/1074329395/reviews/</t>
  </si>
  <si>
    <t>https://2gis.ru/saratov/firm/6052240280257227</t>
  </si>
  <si>
    <t>https://2gis.ru/saratov/firm/6052240280257227/tab/reviews</t>
  </si>
  <si>
    <t>https://sargymn1.gosuslugi.ru/</t>
  </si>
  <si>
    <t>Естественно-научный профиль; Гуманитарный профиль; Социально - экономический профиль; Технологический профиль</t>
  </si>
  <si>
    <t>7 - Победителей регионального этапа Всероссийской олимпиады за 3 года; 29 - Призёров регионального этапа Всероссийской олимпиады за 3 года</t>
  </si>
  <si>
    <t>МАОУ Средняя общеобразовательная школа №18 с углубленным изучением предметов им. О.П. Табакова</t>
  </si>
  <si>
    <t>Школа №18</t>
  </si>
  <si>
    <t>ул Рахова, зд 124</t>
  </si>
  <si>
    <t>64:48:060205:107</t>
  </si>
  <si>
    <t>https://yandex.com/maps/org/srednyaya_obshcheobrazovatelnaya_shkola_18_s_uglublennym_izucheniyem_predmetov_frunzenskogo_rayona_goroda_saratova/92543720504/</t>
  </si>
  <si>
    <t>https://yandex.com/maps/org/srednyaya_obshcheobrazovatelnaya_shkola_18_s_uglublennym_izucheniyem_predmetov_frunzenskogo_rayona_goroda_saratova/92543720504/reviews/</t>
  </si>
  <si>
    <t>https://2gis.ru/saratov/firm/6052240280256555</t>
  </si>
  <si>
    <t>https://2gis.ru/saratov/firm/6052240280256555/tab/reviews</t>
  </si>
  <si>
    <t>https://shk18-sar.gosuslugi.ru/</t>
  </si>
  <si>
    <t>63 - Средний балл на ЕГЭ в 2021 году</t>
  </si>
  <si>
    <t>58% - Выпускников поступивших в ВУЗы в 2022 году</t>
  </si>
  <si>
    <t>62 - Призеров Всероссийской олимпиады за 3 года</t>
  </si>
  <si>
    <t>https://shk18-sar.gosuslugi.ru/svedeniya-ob-obrazovatelnoy-organizatsii/materialno-tehnicheskoe-obespechenie-dostupnaya-sreda/</t>
  </si>
  <si>
    <t>МОУ Средняя общеобразовательная школа №102</t>
  </si>
  <si>
    <t>Школа №102</t>
  </si>
  <si>
    <t>ул Шехурдина, д 56А</t>
  </si>
  <si>
    <t>64:48:000000:18245</t>
  </si>
  <si>
    <t>https://2gis.ru/saratov/firm/6052240280256540</t>
  </si>
  <si>
    <t>https://2gis.ru/saratov/firm/6052240280256540/tab/reviews</t>
  </si>
  <si>
    <t>МОУ Средняя общеобразовательная школа №61 — образовательный комплекс</t>
  </si>
  <si>
    <t>Школа №61</t>
  </si>
  <si>
    <t>ул Бардина, зд 3</t>
  </si>
  <si>
    <t>64:48:040409:3093</t>
  </si>
  <si>
    <t>https://yandex.com/maps/org/shkola_61/88383529263/</t>
  </si>
  <si>
    <t>https://yandex.com/maps/org/shkola_61/88383529263/reviews/</t>
  </si>
  <si>
    <t>https://2gis.ru/saratov/firm/6052240280256814</t>
  </si>
  <si>
    <t>https://2gis.ru/saratov/firm/6052240280256814/tab/reviews</t>
  </si>
  <si>
    <t>https://shk61-sar.gosuslugi.ru/</t>
  </si>
  <si>
    <t>54,08 - Средний балл на ЕГЭ в 2023 году</t>
  </si>
  <si>
    <t>250 - Призеров Всероссийской олимпиады за 3 года</t>
  </si>
  <si>
    <t>https://shk61-sar.gosuslugi.ru/svedeniya-ob-obrazovatelnoy-organizatsii/materialno-tehnicheskoe-obespechenie-dostupnaya-sreda/</t>
  </si>
  <si>
    <t>МОУ Средняя общеобразовательная школа №46</t>
  </si>
  <si>
    <t>Школа №46</t>
  </si>
  <si>
    <t>ул Овражная, зд 2Б</t>
  </si>
  <si>
    <t>64:48:000000:216188</t>
  </si>
  <si>
    <t>https://yandex.com/maps/org/mou_sosh_46/1076928061/</t>
  </si>
  <si>
    <t>https://yandex.com/maps/org/mou_sosh_46/1076928061/reviews/</t>
  </si>
  <si>
    <t>https://2gis.ru/saratov/firm/6052240280289029</t>
  </si>
  <si>
    <t>https://2gis.ru/saratov/firm/6052240280289029/tab/reviews</t>
  </si>
  <si>
    <t>МОУ Основная общеобразовательная школа №26 им. В.Д. Хомяковой</t>
  </si>
  <si>
    <t>Школа №26</t>
  </si>
  <si>
    <t>ул Ново- Крекингская, зд 47 стр 1</t>
  </si>
  <si>
    <t>64:48:020438:28</t>
  </si>
  <si>
    <t>https://yandex.com/maps/org/osnovnaya_obshcheobrazovatelnaya_shkola_26_mou/244703926854/</t>
  </si>
  <si>
    <t>https://yandex.com/maps/org/osnovnaya_obshcheobrazovatelnaya_shkola_26_mou/244703926854/reviews/</t>
  </si>
  <si>
    <t>https://2gis.ru/saratov/firm/6052240280256587</t>
  </si>
  <si>
    <t>https://2gis.ru/saratov/firm/6052240280256587/tab/reviews</t>
  </si>
  <si>
    <t>https://shk26-sar.gosuslugi.ru/</t>
  </si>
  <si>
    <t>https://shk26-sar.gosuslugi.ru/svedeniya-ob-obrazovatelnoy-organizatsii/materialno-tehnicheskoe-obespechenie-dostupnaya-sreda/</t>
  </si>
  <si>
    <t>МОУ Национальная (татарская) гимназия им. героя Советского Союза Г.Г. Рамаева</t>
  </si>
  <si>
    <t>Татарская Гимназия начальная школа</t>
  </si>
  <si>
    <t>ул Мясницкая, д 4</t>
  </si>
  <si>
    <t>64:48:010240:216</t>
  </si>
  <si>
    <t>https://yandex.com/maps/org/national_tatar_gymnasium_primary_school/1731589729/</t>
  </si>
  <si>
    <t>https://yandex.com/maps/org/national_tatar_gymnasium_primary_school/1731589729/reviews/</t>
  </si>
  <si>
    <t>https://2gis.ru/saratov/firm/6052240280268203</t>
  </si>
  <si>
    <t>https://2gis.ru/saratov/firm/6052240280268203/tab/reviews</t>
  </si>
  <si>
    <t>https://ntg-sar.gosuslugi.ru/</t>
  </si>
  <si>
    <t>60,1 - Средний балл на ЕГЭ в 2025</t>
  </si>
  <si>
    <t>11 - Победителей школьного этапа Всероссийской олимпиады; 5 - Победителей Межрегиональной олимпиады по татарскому языку и литературе</t>
  </si>
  <si>
    <t>https://ntg-sar.gosuslugi.ru/svedeniya-ob-obrazovatelnoy-organizatsii/materialno-tehnicheskoe-obespechenie-dostupnaya-sreda/</t>
  </si>
  <si>
    <t>МОУ Средняя общеобразовательная школа №82</t>
  </si>
  <si>
    <t>Школа №82</t>
  </si>
  <si>
    <t>ул 2 Садоаая, зд 106А</t>
  </si>
  <si>
    <t>64:48:000000:10642</t>
  </si>
  <si>
    <t>https://2gis.ru/saratov/firm/6052240280256864</t>
  </si>
  <si>
    <t>https://2gis.ru/saratov/firm/6052240280256864/tab/reviews</t>
  </si>
  <si>
    <t>https://shk82-sar.gosuslugi.ru/</t>
  </si>
  <si>
    <t>61 - Средний балл на ЕГЭ в 2025 году</t>
  </si>
  <si>
    <t>3 - Призеров Всероссийской олимпиады за 3 года</t>
  </si>
  <si>
    <t>https://shk82-sar.gosuslugi.ru/svedeniya-ob-obrazovatelnoy-organizatsii/materialno-tehnicheskoe-obespechenie-dostupnaya-sreda/</t>
  </si>
  <si>
    <t>ул Радищева, зд 18Б</t>
  </si>
  <si>
    <t>64:48:010305:72</t>
  </si>
  <si>
    <t>https://yandex.com/maps/org/school_8/1082134116/</t>
  </si>
  <si>
    <t>https://yandex.com/maps/org/school_8/1082134116/reviews/</t>
  </si>
  <si>
    <t>https://2gis.ru/saratov/firm/6052240280256613</t>
  </si>
  <si>
    <t>https://2gis.ru/saratov/firm/6052240280256613/tab/reviews</t>
  </si>
  <si>
    <t>МОУ Средняя общеобразовательная школа №60 им. героя Советского Союза П.Ф. Батавина</t>
  </si>
  <si>
    <t>Школа №60</t>
  </si>
  <si>
    <t>ул Батавина, зд 6А</t>
  </si>
  <si>
    <t>64:48:040405:140</t>
  </si>
  <si>
    <t>https://yandex.com/maps/org/mou_sosh_60/1052700989/</t>
  </si>
  <si>
    <t>https://yandex.com/maps/org/mou_sosh_60/1052700989/reviews/</t>
  </si>
  <si>
    <t>https://2gis.ru/saratov/firm/6052240280256811</t>
  </si>
  <si>
    <t>https://2gis.ru/saratov/firm/6052240280256811/tab/reviews</t>
  </si>
  <si>
    <t>https://shk60-sar.gosuslugi.ru/</t>
  </si>
  <si>
    <t>52,1 - Средний балл на ЕГЭ в 2023 году</t>
  </si>
  <si>
    <t>70% - Выпускников поступивших в ВУЗы в 2023 году</t>
  </si>
  <si>
    <t>27 - Призеров Всероссийской олимпиады за 3 года</t>
  </si>
  <si>
    <t>https://shk60-sar.gosuslugi.ru/svedeniya-ob-obrazovatelnoy-organizatsii/materialno-tehnicheskoe-obespechenie-dostupnaya-sreda/</t>
  </si>
  <si>
    <t>ГБОУ Школа-интернат для обучающихся по адаптированным образовательным программам №3 г. Саратова</t>
  </si>
  <si>
    <t>Школа-интернат №3</t>
  </si>
  <si>
    <t>пр-д Селекционный, зд 3</t>
  </si>
  <si>
    <t>64:48:040454:130</t>
  </si>
  <si>
    <t>https://yandex.com/maps/org/gbou_so_shkola_internat_aop_3_g_saratova/228497961048/</t>
  </si>
  <si>
    <t>https://yandex.com/maps/org/gbou_so_shkola_internat_aop_3_g_saratova/228497961048/reviews/</t>
  </si>
  <si>
    <t>https://2gis.ru/saratov/firm/6052240280292293</t>
  </si>
  <si>
    <t>https://2gis.ru/saratov/firm/6052240280292293/tab/reviews</t>
  </si>
  <si>
    <t>https://sh-int3-saratov-r64.gosweb.gosuslugi.ru/</t>
  </si>
  <si>
    <t>https://sh-int3-saratov-r64.gosweb.gosuslugi.ru/svedeniya-ob-obrazovatelnoy-organizatsii/materialno-tehnicheskoe-obespechenie-dostupnaya-sreda/</t>
  </si>
  <si>
    <t>Спортивные залы; Зал ЛФК</t>
  </si>
  <si>
    <t>МОУ Средняя общеобразовательная школа №1</t>
  </si>
  <si>
    <t>Школа №1</t>
  </si>
  <si>
    <t>ул Разина, д 32</t>
  </si>
  <si>
    <t>64:48:060201:102</t>
  </si>
  <si>
    <t>https://yandex.com/maps/org/mou_sosh_1_frunzenskogo_rayona_goroda_saratova/199355486831/</t>
  </si>
  <si>
    <t>https://yandex.com/maps/org/mou_sosh_1_frunzenskogo_rayona_goroda_saratova/199355486831/reviews/</t>
  </si>
  <si>
    <t>https://2gis.ru/saratov/firm/6052240280256536</t>
  </si>
  <si>
    <t>https://2gis.ru/saratov/firm/6052240280256536/tab/reviews</t>
  </si>
  <si>
    <t>https://shk1-sar.gosuslugi.ru/</t>
  </si>
  <si>
    <t>55,75 - Средний балл на ЕГЭ в 2025 году</t>
  </si>
  <si>
    <t>93% - Выпускников поступивших в ВУЗы в 2025 году</t>
  </si>
  <si>
    <t>https://shk1-sar.gosuslugi.ru/svedeniya-ob-obrazovatelnoy-organizatsii/materialno-tehnicheskoe-obespechenie-dostupnaya-sreda/</t>
  </si>
  <si>
    <t>МАОУ Прогимназия № 237 Семицветик г. Саратова</t>
  </si>
  <si>
    <t>Прогимназия №237 Семицветик</t>
  </si>
  <si>
    <t>ул Посадского, зд 308А</t>
  </si>
  <si>
    <t>64:48:010244:287</t>
  </si>
  <si>
    <t>https://yandex.com/maps/org/progymnasium_237_semitsvetik/1098995346/</t>
  </si>
  <si>
    <t>https://yandex.com/maps/org/progymnasium_237_semitsvetik/1098995346/reviews/</t>
  </si>
  <si>
    <t>https://shk237-sar.gosuslugi.ru/</t>
  </si>
  <si>
    <t>https://shk237-sar.gosuslugi.ru/svedeniya-ob-obrazovatelnoy-organizatsii/materialno-tehnicheskoe-obespechenie-dostupnaya-sreda/</t>
  </si>
  <si>
    <t>ЧОУ Гимназия ДАР</t>
  </si>
  <si>
    <t>Гимназия ДАР</t>
  </si>
  <si>
    <t>ул Гвардейская, зд 13Д стр 1</t>
  </si>
  <si>
    <t>64:48:000000:7500</t>
  </si>
  <si>
    <t>https://yandex.com/maps/org/gymnasium_d_a_r/1065478073/</t>
  </si>
  <si>
    <t>https://yandex.com/maps/org/gymnasium_d_a_r/1065478073/reviews/</t>
  </si>
  <si>
    <t>АНОО Гимназия гуманитарных наук</t>
  </si>
  <si>
    <t>Гимназия гуманитарных наук</t>
  </si>
  <si>
    <t>ул Вавилова, зд 36</t>
  </si>
  <si>
    <t>64:48:000000:18467</t>
  </si>
  <si>
    <t>https://yandex.com/maps/org/gymnasium_of_humanities/1116621737/</t>
  </si>
  <si>
    <t>https://yandex.com/maps/org/gymnasium_of_humanities/1116621737/reviews/</t>
  </si>
  <si>
    <t>https://2gis.ru/saratov/firm/6052240280257713</t>
  </si>
  <si>
    <t>https://2gis.ru/saratov/firm/6052240280257713/tab/reviews</t>
  </si>
  <si>
    <t>МОУ Средняя общеобразовательная школа №43 им. В.Ф. Маргелова</t>
  </si>
  <si>
    <t>Школа №43э</t>
  </si>
  <si>
    <t>ул Пономарева, зд 49</t>
  </si>
  <si>
    <t>64:48:020324:859</t>
  </si>
  <si>
    <t>https://yandex.com/maps/org/secondary_school_no_43_named_after_v_f_margelov/106386579987/</t>
  </si>
  <si>
    <t>https://yandex.com/maps/org/secondary_school_no_43_named_after_v_f_margelov/106386579987/reviews/</t>
  </si>
  <si>
    <t>https://2gis.ru/saratov/firm/6052240280256679</t>
  </si>
  <si>
    <t>https://2gis.ru/saratov/firm/6052240280256679/tab/reviews</t>
  </si>
  <si>
    <t>https://shk43-sar.gosuslugi.ru/</t>
  </si>
  <si>
    <t>Профильное направление: Универсальный профиль</t>
  </si>
  <si>
    <t>1 - Выпускник набрал 200 баллов по результатам ЕГЭ (профильная математика, физика)</t>
  </si>
  <si>
    <t>81% - Выпускников поступивших в ВУЗы в 2023 году</t>
  </si>
  <si>
    <t>https://shk43-sar.gosuslugi.ru/svedeniya-ob-obrazovatelnoy-organizatsii/materialno-tehnicheskoe-obespechenie-dostupnaya-sreda/</t>
  </si>
  <si>
    <t>Спортивный зал; Хоккейная площадка</t>
  </si>
  <si>
    <t>МОУ Средняя общеобразовательная школа №77</t>
  </si>
  <si>
    <t>Школа №77</t>
  </si>
  <si>
    <t>ул Шелковичная, зд 14</t>
  </si>
  <si>
    <t>64:48:000000:1988</t>
  </si>
  <si>
    <t>https://yandex.com/maps/org/secondary_school_77/1028265778/</t>
  </si>
  <si>
    <t>https://yandex.com/maps/org/secondary_school_77/1028265778/reviews/</t>
  </si>
  <si>
    <t>https://2gis.ru/saratov/firm/6052240280256857</t>
  </si>
  <si>
    <t>https://2gis.ru/saratov/firm/6052240280256857/tab/reviews</t>
  </si>
  <si>
    <t>https://shk77-sar.gosuslugi.ru/</t>
  </si>
  <si>
    <t>https://shk77-sar.gosuslugi.ru/svedeniya-ob-obrazovatelnoy-organizatsii/materialno-tehnicheskoe-obespechenie-dostupnaya-sreda/</t>
  </si>
  <si>
    <t>МОУ Средняя общеобразовательная школа №7</t>
  </si>
  <si>
    <t>Школа №7</t>
  </si>
  <si>
    <t>ул Аткарская, зд 1В</t>
  </si>
  <si>
    <t>64:48:000000:6033</t>
  </si>
  <si>
    <t>https://2gis.ru/saratov/firm/6052240280256840</t>
  </si>
  <si>
    <t>https://2gis.ru/saratov/firm/6052240280256840/tab/reviews</t>
  </si>
  <si>
    <t>https://shk7-sar.gosuslugi.ru/</t>
  </si>
  <si>
    <t>43 - Средний балл на ЕГЭ в 2021 году</t>
  </si>
  <si>
    <t>68% - Выпускников поступивших в ВУЗы в 2022 году</t>
  </si>
  <si>
    <t>https://shk7-sar.gosuslugi.ru/svedeniya-ob-obrazovatelnoy-organizatsii/materialno-tehnicheskoe-obespechenie-dostupnaya-sreda/</t>
  </si>
  <si>
    <t>Лицей математики и информатики</t>
  </si>
  <si>
    <t>ул Посадского, д 24Б</t>
  </si>
  <si>
    <t>64:48:010243:218, 64:48:030435:314</t>
  </si>
  <si>
    <t>https://yandex.com/maps/org/lyceum_of_mathematics_and_informatics/1083755421/</t>
  </si>
  <si>
    <t>https://yandex.com/maps/org/lyceum_of_mathematics_and_informatics/1083755421/reviews/</t>
  </si>
  <si>
    <t>https://2gis.ru/saratov/firm/6052240280257714</t>
  </si>
  <si>
    <t>https://2gis.ru/saratov/firm/6052240280257714/tab/reviews</t>
  </si>
  <si>
    <t>https://lmi-sar.gosuslugi.ru/svedeniya-ob-obrazovatelnoy-organizatsii/osnovnye-svedeniya/</t>
  </si>
  <si>
    <t>МОУ Гимназия №34</t>
  </si>
  <si>
    <t>Гимназия №34</t>
  </si>
  <si>
    <t>пр-кт Энтузиастов, зд 48</t>
  </si>
  <si>
    <t>64:48:020321:1227</t>
  </si>
  <si>
    <t>https://yandex.com/maps/org/gimnaziya_34_imeni_g_d_yermolayeva/37872328167/</t>
  </si>
  <si>
    <t>https://yandex.com/maps/org/gimnaziya_34_imeni_g_d_yermolayeva/37872328167/reviews/</t>
  </si>
  <si>
    <t>https://2gis.ru/saratov/firm/6052240280256532</t>
  </si>
  <si>
    <t>https://2gis.ru/saratov/firm/6052240280256532/tab/reviews</t>
  </si>
  <si>
    <t>https://gim34-sar.gosuslugi.ru/</t>
  </si>
  <si>
    <t>74% - Выпускников поступивших в ВУЗы в 2024 году</t>
  </si>
  <si>
    <t>1 - Призер заключительного этапа Всероссийской олимпиады школьников по литературе за 3 года</t>
  </si>
  <si>
    <t>https://gim34-sar.gosuslugi.ru/svedeniya-ob-obrazovatelnoy-organizatsii/materialno-tehnicheskoe-obespechenie-dostupnaya-sreda/</t>
  </si>
  <si>
    <t>МОУ Средняя общеобразовательная школа №71</t>
  </si>
  <si>
    <t>Школа №71</t>
  </si>
  <si>
    <t>ул Танкистов, д 126</t>
  </si>
  <si>
    <t>64:48:030219:452</t>
  </si>
  <si>
    <t>https://yandex.com/maps/org/secondary_school_71/1006274417/</t>
  </si>
  <si>
    <t>https://yandex.com/maps/org/secondary_school_71/1006274417/reviews/</t>
  </si>
  <si>
    <t>https://2gis.ru/saratov/firm/6052240280256844</t>
  </si>
  <si>
    <t>https://2gis.ru/saratov/firm/6052240280256844/tab/reviews</t>
  </si>
  <si>
    <t>https://shk71-sar.gosuslugi.ru/</t>
  </si>
  <si>
    <t>https://shk71-sar.gosuslugi.ru/svedeniya-ob-obrazovatelnoy-organizatsii/materialno-tehnicheskoe-obespechenie-dostupnaya-sreda/</t>
  </si>
  <si>
    <t>ул Большая Казачья, д 58</t>
  </si>
  <si>
    <t>64:48:030458:757</t>
  </si>
  <si>
    <t>https://yandex.com/maps/org/gimnaziya_gumanitarnykh_nauk/70576329582/</t>
  </si>
  <si>
    <t>https://yandex.com/maps/org/gimnaziya_gumanitarnykh_nauk/70576329582/reviews/</t>
  </si>
  <si>
    <t>https://2gis.ru/saratov/firm/70000001067895343</t>
  </si>
  <si>
    <t>https://2gis.ru/saratov/firm/70000001067895343/tab/reviews</t>
  </si>
  <si>
    <t>МОУ Средняя общеобразовательная школа №22 им. Героя Советского Союза П.Т. Пономарёва</t>
  </si>
  <si>
    <t>Школа №22</t>
  </si>
  <si>
    <t>ул Ростовская, зд 29</t>
  </si>
  <si>
    <t>64:48:020623:235</t>
  </si>
  <si>
    <t>https://yandex.com/maps/org/secondary_school_no_22_named_after_hero_of_the_soviet_union_p_t_ponomarev/75061546307/</t>
  </si>
  <si>
    <t>https://yandex.com/maps/org/secondary_school_no_22_named_after_hero_of_the_soviet_union_p_t_ponomarev/75061546307/reviews/</t>
  </si>
  <si>
    <t>https://2gis.ru/saratov/firm/6052240280256560</t>
  </si>
  <si>
    <t>https://2gis.ru/saratov/firm/6052240280256560/tab/reviews</t>
  </si>
  <si>
    <t>https://shk22-sar.gosuslugi.ru/</t>
  </si>
  <si>
    <t>https://shk22-sar.gosuslugi.ru/svedeniya-ob-obrazovatelnoy-organizatsii/materialno-tehnicheskoe-obespechenie-dostupnaya-sreda/</t>
  </si>
  <si>
    <t>МОУ Средняя общеобразовательная школа №67 им. О.И. Янковского</t>
  </si>
  <si>
    <t>Школа №67</t>
  </si>
  <si>
    <t>ул Пугачева, д 123</t>
  </si>
  <si>
    <t>64:48:050382:598</t>
  </si>
  <si>
    <t>https://yandex.com/maps/org/shkola_67_imeni_o_i_yankovskogo/1115737362/</t>
  </si>
  <si>
    <t>https://yandex.com/maps/org/shkola_67_imeni_o_i_yankovskogo/1115737362/reviews/</t>
  </si>
  <si>
    <t>https://2gis.ru/saratov/firm/6052240280256838</t>
  </si>
  <si>
    <t>https://2gis.ru/saratov/firm/6052240280256838/tab/reviews</t>
  </si>
  <si>
    <t>https://shk67-sar.gosuslugi.ru/</t>
  </si>
  <si>
    <t>54,8 - Средний балл на ЕГЭ в 2025году</t>
  </si>
  <si>
    <t>77,87% - Выпускников поступивших в ВУЗы в 2025 году</t>
  </si>
  <si>
    <t>https://shk67-sar.gosuslugi.ru/svedeniya-ob-obrazovatelnoy-organizatsii/materialno-tehnicheskoe-obespechenie-dostupnaya-sreda/</t>
  </si>
  <si>
    <t>МОУ Средняя общеобразовательная школа №86</t>
  </si>
  <si>
    <t>Школа №86</t>
  </si>
  <si>
    <t>пр-д 2-й Московский, зд 5</t>
  </si>
  <si>
    <t>64:48:040234:109</t>
  </si>
  <si>
    <t>https://yandex.com/maps/org/sarschool86/16042452222/</t>
  </si>
  <si>
    <t>https://yandex.com/maps/org/sarschool86/16042452222/reviews/</t>
  </si>
  <si>
    <t>https://2gis.ru/saratov/firm/6052240280256869</t>
  </si>
  <si>
    <t>https://2gis.ru/saratov/firm/6052240280256869/tab/reviews</t>
  </si>
  <si>
    <t>https://shk86-sar.gosuslugi.ru/</t>
  </si>
  <si>
    <t>92% - Выпускников поступивших в ВУЗы в 2021 году</t>
  </si>
  <si>
    <t>https://shk86-sar.gosuslugi.ru/svedeniya-ob-obrazovatelnoy-organizatsii/materialno-tehnicheskoe-obespechenie-dostupnaya-sreda/</t>
  </si>
  <si>
    <t>Спортивный зал</t>
  </si>
  <si>
    <t>МОУ Русская православная классическая гимназия им. преподобного Сергия Радонежского</t>
  </si>
  <si>
    <t>Православная гимназия Сергия Радонежского</t>
  </si>
  <si>
    <t>ул Челюскинцев, д 12</t>
  </si>
  <si>
    <t>64:48:010254:48</t>
  </si>
  <si>
    <t>https://yandex.com/maps/org/munitsipalnoye_obshcheobrazovatelnoye_ucherezhdeniyesrednyaya_obshcheobrazovatelnaya_shkola_10_volzhskogo_rayona_g_saratov/177322688958/</t>
  </si>
  <si>
    <t>https://yandex.com/maps/org/munitsipalnoye_obshcheobrazovatelnoye_ucherezhdeniyesrednyaya_obshcheobrazovatelnaya_shkola_10_volzhskogo_rayona_g_saratov/177322688958/reviews/</t>
  </si>
  <si>
    <t>https://2gis.ru/saratov/firm/70000001025091889</t>
  </si>
  <si>
    <t>https://2gis.ru/saratov/firm/70000001025091889/tab/reviews</t>
  </si>
  <si>
    <t>https://mourpkg.gosuslugi.ru/</t>
  </si>
  <si>
    <t>Естественно-научное; Социально-экономическое</t>
  </si>
  <si>
    <t>63,2 - Средний балл на ЕГЭ в 2025 году</t>
  </si>
  <si>
    <t>https://mourpkg.gosuslugi.ru/svedeniya-ob-obrazovatelnoy-organizatsii/materialno-tehnicheskoe-obespechenie-dostupnaya-sreda/</t>
  </si>
  <si>
    <t>Школа №77 корпус 2</t>
  </si>
  <si>
    <t>ул Новоузенская, д 143</t>
  </si>
  <si>
    <t>64:48:050203:591</t>
  </si>
  <si>
    <t>https://2gis.ru/saratov/firm/70000001078805388</t>
  </si>
  <si>
    <t>https://2gis.ru/saratov/firm/70000001078805388/tab/reviews</t>
  </si>
  <si>
    <t>МОУ Средняя общеобразовательная школа №10</t>
  </si>
  <si>
    <t>Школа №10</t>
  </si>
  <si>
    <t>ул Рогожина, зд 24/32</t>
  </si>
  <si>
    <t>64:48:000000:7823</t>
  </si>
  <si>
    <t>https://2gis.ru/saratov/firm/6052240280289139</t>
  </si>
  <si>
    <t>https://2gis.ru/saratov/firm/6052240280289139/tab/reviews</t>
  </si>
  <si>
    <t>https://shk10-sar.gosuslugi.ru/</t>
  </si>
  <si>
    <t>МБОУ Основная общеобразовательная школа №91</t>
  </si>
  <si>
    <t>Школа №91</t>
  </si>
  <si>
    <t>пр-д 1-й Нефтяной, д 1</t>
  </si>
  <si>
    <t>64:48:020520:1333</t>
  </si>
  <si>
    <t>https://yandex.com/maps/org/school_91/1125641939/</t>
  </si>
  <si>
    <t>https://yandex.com/maps/org/school_91/1125641939/reviews/</t>
  </si>
  <si>
    <t>https://2gis.ru/saratov/firm/6052240280394901</t>
  </si>
  <si>
    <t>https://2gis.ru/saratov/firm/6052240280394901/tab/reviews</t>
  </si>
  <si>
    <t>https://shk91-sar.gosuslugi.ru/</t>
  </si>
  <si>
    <t>https://shk91-sar.gosuslugi.ru/svedeniya-ob-obrazovatelnoy-organizatsii/materialno-tehnicheskoe-obespechenie-dostupnaya-sreda/</t>
  </si>
  <si>
    <t>Лицей Солярис</t>
  </si>
  <si>
    <t>ул Лисина, зд 7Б</t>
  </si>
  <si>
    <t>64:48:030101:10873</t>
  </si>
  <si>
    <t>https://yandex.com/maps/org/solaris/34634068768/</t>
  </si>
  <si>
    <t>https://yandex.com/maps/org/solaris/34634068768/reviews/</t>
  </si>
  <si>
    <t>https://2gis.ru/saratov/firm/70000001027154065</t>
  </si>
  <si>
    <t>https://2gis.ru/saratov/firm/70000001027154065/tab/reviews</t>
  </si>
  <si>
    <t>МОУ Средняя общеобразовательная школа №57 им. С.Ф. Тархова</t>
  </si>
  <si>
    <t>Школа №57</t>
  </si>
  <si>
    <t>ул Перспективная, зд 29</t>
  </si>
  <si>
    <t>64:48:040408:367</t>
  </si>
  <si>
    <t>https://yandex.com/maps/org/munitsipalnoye_obshcheobrazovatelnoye_uchrezhdeniye_srednyaya_obshcheobrazovatelnaya_shkola_57/65307562578/</t>
  </si>
  <si>
    <t>https://yandex.com/maps/org/munitsipalnoye_obshcheobrazovatelnoye_uchrezhdeniye_srednyaya_obshcheobrazovatelnaya_shkola_57/65307562578/reviews/</t>
  </si>
  <si>
    <t>https://2gis.ru/saratov/firm/6052240280256723</t>
  </si>
  <si>
    <t>https://2gis.ru/saratov/firm/6052240280256723/tab/reviews</t>
  </si>
  <si>
    <t>https://shk57-sar.gosuslugi.ru/</t>
  </si>
  <si>
    <t>67.5 - Средний балл на ЕГЭ в 2024 году</t>
  </si>
  <si>
    <t>70% - Выпускников поступивших в ВУЗы в 2024 году</t>
  </si>
  <si>
    <t>ГБОУ Школа для обучающихся по адаптированным образовательным программам №6 г. Саратова</t>
  </si>
  <si>
    <t>ул Пролетарская, зд 8</t>
  </si>
  <si>
    <t>64:48:020619:661</t>
  </si>
  <si>
    <t>https://yandex.com/maps/org/school_6/1075874246/</t>
  </si>
  <si>
    <t>https://yandex.com/maps/org/school_6/1075874246/reviews/</t>
  </si>
  <si>
    <t>https://2gis.ru/saratov/firm/6052240280292317</t>
  </si>
  <si>
    <t>https://2gis.ru/saratov/firm/6052240280292317/tab/reviews</t>
  </si>
  <si>
    <t>https://sh6-saratov-r64.gosweb.gosuslugi.ru/</t>
  </si>
  <si>
    <t>https://sh6-saratov-r64.gosweb.gosuslugi.ru/svedeniya-ob-obrazovatelnoy-organizatsii/materialno-tehnicheskoe-obespechenie-dostupnaya-sreda/</t>
  </si>
  <si>
    <t>ГБОУ Школа для обучающихся по адаптированным образовательным программам №4 г. Саратова</t>
  </si>
  <si>
    <t>Школа №4</t>
  </si>
  <si>
    <t>ул Загороднева, зд 19</t>
  </si>
  <si>
    <t>64:48:040340:43</t>
  </si>
  <si>
    <t>https://yandex.com/maps/org/special_correctional_general_education_school_4_of_the_viii_type/15410306125/</t>
  </si>
  <si>
    <t>https://yandex.com/maps/org/special_correctional_general_education_school_4_of_the_viii_type/15410306125/reviews/</t>
  </si>
  <si>
    <t>https://2gis.ru/saratov/firm/6052240280256664</t>
  </si>
  <si>
    <t>https://2gis.ru/saratov/firm/6052240280256664/tab/reviews</t>
  </si>
  <si>
    <t>https://shkola-internat4.gosuslugi.ru/</t>
  </si>
  <si>
    <t>https://shkola-internat4.gosuslugi.ru/svedeniya-ob-obrazovatelnoy-organizatsii/materialno-tehnicheskoe-obespechenie-dostupnaya-sreda/</t>
  </si>
  <si>
    <t>НОУ Прогимназия Идеал</t>
  </si>
  <si>
    <t>Прогимназия Идеал</t>
  </si>
  <si>
    <t>ул Чернышевского, зд 16</t>
  </si>
  <si>
    <t>64:48:000000:15467</t>
  </si>
  <si>
    <t>https://yandex.com/maps/org/progimnaziya_ideal/1003889825/</t>
  </si>
  <si>
    <t>https://yandex.com/maps/org/progimnaziya_ideal/1003889825/reviews/</t>
  </si>
  <si>
    <t>МОУ Школа №40</t>
  </si>
  <si>
    <t>Школа №40</t>
  </si>
  <si>
    <t>ул Кавказская, зд 17</t>
  </si>
  <si>
    <t>64:48:020322:384</t>
  </si>
  <si>
    <t>https://yandex.com/maps/org/shkola_40/42110567774/</t>
  </si>
  <si>
    <t>https://yandex.com/maps/org/shkola_40/42110567774/reviews/</t>
  </si>
  <si>
    <t>https://2gis.ru/saratov/firm/6052240280256671</t>
  </si>
  <si>
    <t>https://2gis.ru/saratov/firm/6052240280256671/tab/reviews</t>
  </si>
  <si>
    <t>https://sc40sar.gosuslugi.ru/</t>
  </si>
  <si>
    <t>51 - Средний балл на ЕГЭ в 2024 году</t>
  </si>
  <si>
    <t>99% - Выпускников поступивших в ВУЗы в 2024 году</t>
  </si>
  <si>
    <t>https://sc40sar.gosuslugi.ru/svedeniya-ob-obrazovatelnoy-organizatsii/materialno-tehnicheskoe-obespechenie-dostupnaya-sreda/</t>
  </si>
  <si>
    <t>МАОУ Средняя общеобразовательная школа №90</t>
  </si>
  <si>
    <t>Школа №90</t>
  </si>
  <si>
    <t>ул Заречная, зд 2</t>
  </si>
  <si>
    <t>64:48:020352:13</t>
  </si>
  <si>
    <t>https://yandex.com/maps/org/secondary_school_90/106467648031/</t>
  </si>
  <si>
    <t>https://yandex.com/maps/org/secondary_school_90/106467648031/reviews/</t>
  </si>
  <si>
    <t>https://2gis.ru/saratov/firm/6052240280256876</t>
  </si>
  <si>
    <t>https://2gis.ru/saratov/firm/6052240280256876/tab/reviews</t>
  </si>
  <si>
    <t>https://shk90-sar.gosuslugi.ru/</t>
  </si>
  <si>
    <t>универсальный профиль</t>
  </si>
  <si>
    <t>https://shk90-sar.gosuslugi.ru/svedeniya-ob-obrazovatelnoy-organizatsii/materialno-tehnicheskoe-obespechenie-dostupnaya-sreda/</t>
  </si>
  <si>
    <t>ул Лесопильная, д 17</t>
  </si>
  <si>
    <t>64:48:020361:75</t>
  </si>
  <si>
    <t>https://yandex.com/maps/org/srednyaya_obshcheobrazovatelnaya_shkola_16/36621252093/</t>
  </si>
  <si>
    <t>https://yandex.com/maps/org/srednyaya_obshcheobrazovatelnaya_shkola_16/36621252093/reviews/</t>
  </si>
  <si>
    <t>https://2gis.ru/saratov/firm/6052240280256519</t>
  </si>
  <si>
    <t>https://2gis.ru/saratov/firm/6052240280256519/tab/reviews</t>
  </si>
  <si>
    <t>МОУ Средняя общеобразовательная школа №83</t>
  </si>
  <si>
    <t>Школа №83</t>
  </si>
  <si>
    <t>ул Крымская, зд 2</t>
  </si>
  <si>
    <t>64:48:020331:1356</t>
  </si>
  <si>
    <t>https://yandex.com/maps/org/srednyaya_obshcheobrazovatelnaya_shkola_83/1013287750/</t>
  </si>
  <si>
    <t>https://yandex.com/maps/org/srednyaya_obshcheobrazovatelnaya_shkola_83/1013287750/reviews/</t>
  </si>
  <si>
    <t>https://2gis.ru/saratov/firm/70000001037362342</t>
  </si>
  <si>
    <t>https://2gis.ru/saratov/firm/70000001037362342/tab/reviews</t>
  </si>
  <si>
    <t>https://shk83-sar.gosuslugi.ru/</t>
  </si>
  <si>
    <t>https://shk83-sar.gosuslugi.ru/svedeniya-ob-obrazovatelnoy-organizatsii/materialno-tehnicheskoe-obespechenie-dostupnaya-sreda/</t>
  </si>
  <si>
    <t>МОУ Основная общеобразовательная школа №14</t>
  </si>
  <si>
    <t>Школа №14</t>
  </si>
  <si>
    <t>ул 1-я Садовая, д 35</t>
  </si>
  <si>
    <t>64:48:030411:67</t>
  </si>
  <si>
    <t>https://yandex.com/maps/org/school_14/1068794906/</t>
  </si>
  <si>
    <t>https://yandex.com/maps/org/school_14/1068794906/reviews/</t>
  </si>
  <si>
    <t>https://2gis.ru/saratov/firm/6052240280256549</t>
  </si>
  <si>
    <t>https://2gis.ru/saratov/firm/6052240280256549/tab/reviews</t>
  </si>
  <si>
    <t>https://shk14-sar.gosuslugi.ru/</t>
  </si>
  <si>
    <t>https://shk14-sar.gosuslugi.ru/svedeniya-ob-obrazovatelnoy-organizatsii/materialno-tehnicheskoe-obespechenie-dostupnaya-sreda/</t>
  </si>
  <si>
    <t>МОУ Средняя общеобразовательная школа №95 с углубленным изучением отдельных предметов</t>
  </si>
  <si>
    <t>Школа №95</t>
  </si>
  <si>
    <t>ул 2-я Садовая, д 23</t>
  </si>
  <si>
    <t>64:48:050389:290</t>
  </si>
  <si>
    <t>https://yandex.com/maps/org/srednyaya_obshcheobrazovatelnaya_shkola_95_mou/1133121667/</t>
  </si>
  <si>
    <t>https://yandex.com/maps/org/srednyaya_obshcheobrazovatelnaya_shkola_95_mou/1133121667/reviews/</t>
  </si>
  <si>
    <t>https://2gis.ru/saratov/firm/6052240280256885</t>
  </si>
  <si>
    <t>https://2gis.ru/saratov/firm/6052240280256885/tab/reviews</t>
  </si>
  <si>
    <t>https://shk95-sar.gosuslugi.ru/</t>
  </si>
  <si>
    <t>73,4 - Средний балл на ЕГЭ за 3 года</t>
  </si>
  <si>
    <t>100% - Выпускников поступивших в ВУЗы за 3 года</t>
  </si>
  <si>
    <t>https://shk95-sar.gosuslugi.ru/svedeniya-ob-obrazovatelnoy-organizatsii/materialno-tehnicheskoe-obespechenie-dostupnaya-sreda/</t>
  </si>
  <si>
    <t>МОУ Средняя общеобразовательная школа №64 им. Героя Советского Союза И.В. Панфилова</t>
  </si>
  <si>
    <t>Школа №64</t>
  </si>
  <si>
    <t>ул Стахановская, зд. 8</t>
  </si>
  <si>
    <t>64:48:040229:38</t>
  </si>
  <si>
    <t>https://yandex.com/maps/org/srednyaya_obshcheobrazovatelnaya_shkola_64/120490931607/</t>
  </si>
  <si>
    <t>https://yandex.com/maps/org/srednyaya_obshcheobrazovatelnaya_shkola_64/120490931607/reviews/</t>
  </si>
  <si>
    <t>https://2gis.ru/saratov/firm/6052240280256822</t>
  </si>
  <si>
    <t>https://2gis.ru/saratov/firm/6052240280256822/tab/reviews</t>
  </si>
  <si>
    <t>https://shk64-sar.gosuslugi.ru/svedeniya-ob-obrazovatelnoy-organizatsii/osnovnye-svedeniya/</t>
  </si>
  <si>
    <t>МОУ Средняя общеобразовательная школа №100</t>
  </si>
  <si>
    <t>Школа №100</t>
  </si>
  <si>
    <t>пр-д 1-й Панфилова, зд 3</t>
  </si>
  <si>
    <t>64:48:040711:705</t>
  </si>
  <si>
    <t>https://yandex.com/maps/org/shkola_100/1057602578/</t>
  </si>
  <si>
    <t>https://yandex.com/maps/org/shkola_100/1057602578/reviews/</t>
  </si>
  <si>
    <t>https://2gis.ru/saratov/firm/6052240280256538</t>
  </si>
  <si>
    <t>https://2gis.ru/saratov/firm/6052240280256538/tab/reviews</t>
  </si>
  <si>
    <t>https://school100sar.gosuslugi.ru/</t>
  </si>
  <si>
    <t>МОУ Средняя общеобразовательная школа №9</t>
  </si>
  <si>
    <t>Школа №9</t>
  </si>
  <si>
    <t>ул Соляная, д 17</t>
  </si>
  <si>
    <t>64:48:010333:59</t>
  </si>
  <si>
    <t>https://yandex.com/maps/org/srednyaya_obshcheobrazovatelnaya_shkola_9_volzhskogo_rayona_g_saratova/1096289996/</t>
  </si>
  <si>
    <t>https://yandex.com/maps/org/srednyaya_obshcheobrazovatelnaya_shkola_9_volzhskogo_rayona_g_saratova/1096289996/reviews/</t>
  </si>
  <si>
    <t>https://2gis.ru/saratov/firm/6052240280256518</t>
  </si>
  <si>
    <t>https://2gis.ru/saratov/firm/6052240280256518/tab/reviews</t>
  </si>
  <si>
    <t>https://school9saratov.gosuslugi.ru/</t>
  </si>
  <si>
    <t>57 - Средний балл ЕГЭ в 2024 году</t>
  </si>
  <si>
    <t>110 - Призеров школьного этата Всероссийской олимпиады школьников</t>
  </si>
  <si>
    <t>https://school9saratov.gosuslugi.ru/svedeniya-ob-obrazovatelnoy-organizatsii/materialno-tehnicheskoe-obespechenie-dostupnaya-sreda/</t>
  </si>
  <si>
    <t>МОУ Основная общеобразовательная школа №17</t>
  </si>
  <si>
    <t>Школа №17</t>
  </si>
  <si>
    <t>ул Наумовская, зд 11</t>
  </si>
  <si>
    <t>64:48:030306:2720</t>
  </si>
  <si>
    <t>https://yandex.com/maps/org/basic_secondary_school_17/1131316636/</t>
  </si>
  <si>
    <t>https://yandex.com/maps/org/basic_secondary_school_17/1131316636/reviews/</t>
  </si>
  <si>
    <t>https://2gis.ru/saratov/firm/6052240280256554</t>
  </si>
  <si>
    <t>https://2gis.ru/saratov/firm/6052240280256554/tab/reviews</t>
  </si>
  <si>
    <t>https://shk17-sar.gosuslugi.ru/</t>
  </si>
  <si>
    <t>7 - Победителей и призеров Всероссийской олимпиады (муниципальный этап) 2022-2023 уч.год</t>
  </si>
  <si>
    <t>https://shk17-sar.gosuslugi.ru/svedeniya-ob-obrazovatelnoy-organizatsii/materialno-tehnicheskoe-obespechenie-dostupnaya-sreda/</t>
  </si>
  <si>
    <t>Спортивная площадка</t>
  </si>
  <si>
    <t>ЧОУ Средняя общеобразовательная школа с этнокультурным еврейским компонентом образования</t>
  </si>
  <si>
    <t>Школа с этнокультурным еврейским компонентом</t>
  </si>
  <si>
    <t>пр-д Селекционный, зд 5</t>
  </si>
  <si>
    <t>64:48:000000:43278</t>
  </si>
  <si>
    <t>https://yandex.com/maps/org/secondary_school_with_an_ethnocultural_jewish_component/1160168382/</t>
  </si>
  <si>
    <t>https://yandex.com/maps/org/secondary_school_with_an_ethnocultural_jewish_component/1160168382/reviews/</t>
  </si>
  <si>
    <t>https://2gis.ru/saratov/firm/6052240280257722</t>
  </si>
  <si>
    <t>https://2gis.ru/saratov/firm/6052240280257722/tab/reviews</t>
  </si>
  <si>
    <t>ЧАО Лицей-интернет естесственных наук</t>
  </si>
  <si>
    <t>Лицей-интернет естесственных наук</t>
  </si>
  <si>
    <t>ул Советская, д 60</t>
  </si>
  <si>
    <t>64:48:050303:733</t>
  </si>
  <si>
    <t>https://yandex.com/maps/org/litsey_internat_yestestvennykh_nauk/1046815252/</t>
  </si>
  <si>
    <t>https://yandex.com/maps/org/litsey_internat_yestestvennykh_nauk/1046815252/reviews/</t>
  </si>
  <si>
    <t>МОУ Средняя общеобразовательная школа №94</t>
  </si>
  <si>
    <t>Школа №94</t>
  </si>
  <si>
    <t>пр-кт 50 лет Октября, зд 75</t>
  </si>
  <si>
    <t>64:48:040824:863</t>
  </si>
  <si>
    <t>https://yandex.com/maps/org/mou_sosh_94/1017609783/</t>
  </si>
  <si>
    <t>https://yandex.com/maps/org/mou_sosh_94/1017609783/reviews/</t>
  </si>
  <si>
    <t>https://2gis.ru/saratov/firm/6052240280256879</t>
  </si>
  <si>
    <t>https://2gis.ru/saratov/firm/6052240280256879/tab/reviews</t>
  </si>
  <si>
    <t>https://shk94-sar.gosuslugi.ru/</t>
  </si>
  <si>
    <t>96% - Выпускников поступивших в ВУЗы в 2024 году</t>
  </si>
  <si>
    <t>1 - Призеров Регионального этапа Всероссийской олимпиады школьников за 3 года</t>
  </si>
  <si>
    <t>https://shk94-sar.gosuslugi.ru/svedeniya-ob-obrazovatelnoy-organizatsii/materialno-tehnicheskoe-obespechenie-dostupnaya-sreda/</t>
  </si>
  <si>
    <t>МОУ Основная общеобразовательная школа №81</t>
  </si>
  <si>
    <t>Школа №81</t>
  </si>
  <si>
    <t>ул Васильковская, д 17</t>
  </si>
  <si>
    <t>64:48:020354:875</t>
  </si>
  <si>
    <t>https://yandex.com/maps/org/osnovnaya_obshcheobrazovatelnaya_shkola_81/1045200569/</t>
  </si>
  <si>
    <t>https://yandex.com/maps/org/osnovnaya_obshcheobrazovatelnaya_shkola_81/1045200569/reviews/</t>
  </si>
  <si>
    <t>https://2gis.ru/saratov/firm/6052240280256862</t>
  </si>
  <si>
    <t>https://2gis.ru/saratov/firm/6052240280256862/tab/reviews</t>
  </si>
  <si>
    <t>https://shk81-sar.gosuslugi.ru/</t>
  </si>
  <si>
    <t>https://shk81-sar.gosuslugi.ru/svedeniya-ob-obrazovatelnoy-organizatsii/materialno-tehnicheskoe-obespechenie-dostupnaya-sreda/</t>
  </si>
  <si>
    <t>ГБОУ Школа-интернат для обучающихся по адаптированным образовательным программам №5</t>
  </si>
  <si>
    <t>Школа-интернат №5 адаптированная</t>
  </si>
  <si>
    <t>ул Рогожина, зд 22</t>
  </si>
  <si>
    <t>64:48:000000:22831</t>
  </si>
  <si>
    <t>https://yandex.com/maps/org/gosudarstvennoye_byudzhetnoye_obshcheobrazovatelnoye_uchrezhdeniye_so_shkola_internat_dlya_obuchayushchikhsya_po_adaptirovannym_obrazovatelnym_programmam_5_g_saratova/1010417963/</t>
  </si>
  <si>
    <t>https://yandex.com/maps/org/gosudarstvennoye_byudzhetnoye_obshcheobrazovatelnoye_uchrezhdeniye_so_shkola_internat_dlya_obuchayushchikhsya_po_adaptirovannym_obrazovatelnym_programmam_5_g_saratova/1010417963/reviews/</t>
  </si>
  <si>
    <t>https://2gis.ru/saratov/firm/6052240280266750</t>
  </si>
  <si>
    <t>https://2gis.ru/saratov/firm/6052240280266750/tab/reviews</t>
  </si>
  <si>
    <t>https://sh-int5-saratov-r64.gosweb.gosuslugi.ru/</t>
  </si>
  <si>
    <t>https://sh-int5-saratov-r64.gosweb.gosuslugi.ru/svedeniya-ob-obrazovatelnoy-organizatsii/materialno-tehnicheskoe-obespechenie-dostupnaya-sreda/</t>
  </si>
  <si>
    <t>Спортивный класс</t>
  </si>
  <si>
    <t>МОУ Средняя общеобразовательная школа №70</t>
  </si>
  <si>
    <t>Школа №70</t>
  </si>
  <si>
    <t>ул Большая Садовая, д 240</t>
  </si>
  <si>
    <t>64:48:030235:157</t>
  </si>
  <si>
    <t>https://yandex.com/maps/org/secondary_school_70/107243058092/</t>
  </si>
  <si>
    <t>https://yandex.com/maps/org/secondary_school_70/107243058092/reviews/</t>
  </si>
  <si>
    <t>https://2gis.ru/saratov/firm/6052240280256843</t>
  </si>
  <si>
    <t>https://2gis.ru/saratov/firm/6052240280256843/tab/reviews</t>
  </si>
  <si>
    <t>https://school70-sar.gosuslugi.ru/</t>
  </si>
  <si>
    <t>46 - Средний балл на ЕГЭ в 2025 году</t>
  </si>
  <si>
    <t>8 - Выпускников поступивших в ВУЗы в 2025 году</t>
  </si>
  <si>
    <t>https://school70-sar.gosuslugi.ru/svedeniya-ob-obrazovatelnoy-organizatsii/materialno-tehnicheskoe-obespechenie-dostupnaya-sreda/</t>
  </si>
  <si>
    <t>МАОУ Средняя общеобразовательная школа с. Клещевка муниципального образования Город Саратов</t>
  </si>
  <si>
    <t>Школа с Клещевка</t>
  </si>
  <si>
    <t>с Клещевка, ул Советская, д 46</t>
  </si>
  <si>
    <t>64:32:010711:390</t>
  </si>
  <si>
    <t>https://2gis.ru/saratov/firm/70000001030061741</t>
  </si>
  <si>
    <t>https://2gis.ru/saratov/firm/70000001030061741/tab/reviews</t>
  </si>
  <si>
    <t>https://kleshevka.gosuslugi.ru/</t>
  </si>
  <si>
    <t>https://kleshevka.gosuslugi.ru/svedeniya-ob-obrazovatelnoy-organizatsii/materialno-tehnicheskoe-obespechenie-dostupnaya-sreda/</t>
  </si>
  <si>
    <t>МОУ Основная общеобразовательная школа №78</t>
  </si>
  <si>
    <t>Школа №78</t>
  </si>
  <si>
    <t>ул Огородная, зд 173</t>
  </si>
  <si>
    <t>64:48:020633:8765</t>
  </si>
  <si>
    <t>https://yandex.com/maps/org/mou_osnovnaya_obshcheobrazovatelnaya_shkola_78/181981552893/</t>
  </si>
  <si>
    <t>https://yandex.com/maps/org/mou_osnovnaya_obshcheobrazovatelnaya_shkola_78/181981552893/reviews/</t>
  </si>
  <si>
    <t>https://2gis.ru/saratov/firm/6052240280256859</t>
  </si>
  <si>
    <t>https://2gis.ru/saratov/firm/6052240280256859/tab/reviews</t>
  </si>
  <si>
    <t>https://shk78-sar.gosuslugi.ru/</t>
  </si>
  <si>
    <t>https://shk78-sar.gosuslugi.ru/svedeniya-ob-obrazovatelnoy-organizatsii/materialno-tehnicheskoe-obespechenie-dostupnaya-sreda/</t>
  </si>
  <si>
    <t>ГБОУ Школа для обучающихся по адаптированным образовательным программам №2 г. Саратова</t>
  </si>
  <si>
    <t>Школа №2 адаптированная</t>
  </si>
  <si>
    <t>ул Гоголя, зд 42</t>
  </si>
  <si>
    <t>64:48:030409:241, 64:48:000000:42034</t>
  </si>
  <si>
    <t>https://yandex.com/maps/org/gosudarstvennoye_byudzhetnoye_obshcheobrazovatelnoye_uchrezhdeniye_saratovskoy_oblasti_shkola_dlya_obuchayushchikhsya_po_adaptivnym_obrazovatelnym_programmam_2_goroda_saratov/72111282236/</t>
  </si>
  <si>
    <t>https://yandex.com/maps/org/gosudarstvennoye_byudzhetnoye_obshcheobrazovatelnoye_uchrezhdeniye_saratovskoy_oblasti_shkola_dlya_obuchayushchikhsya_po_adaptivnym_obrazovatelnym_programmam_2_goroda_saratov/72111282236/reviews/</t>
  </si>
  <si>
    <t>https://2gis.ru/saratov/firm/6052240280256558</t>
  </si>
  <si>
    <t>https://2gis.ru/saratov/firm/6052240280256558/tab/reviews</t>
  </si>
  <si>
    <t>https://korschool2.gosuslugi.ru/</t>
  </si>
  <si>
    <t>https://korschool2.gosuslugi.ru/svedeniya-ob-obrazovatelnoy-organizatsii/materialno-tehnicheskoe-obespechenie-dostupnaya-sreda/</t>
  </si>
  <si>
    <t>ЧОУ Покровская православная классическая гимназия г. Саратова им. Святого благоверного князя А. Невского</t>
  </si>
  <si>
    <t>Покровская православная гимназия</t>
  </si>
  <si>
    <t>ул Горького, д 83</t>
  </si>
  <si>
    <t>64:48:030452:127</t>
  </si>
  <si>
    <t>https://yandex.com/maps/org/pokrovskaya_pravoslavnaya_klassicheskaya_gimnaziya_imeni_svyatogo_aleksandra_nevskogo/1225212315/</t>
  </si>
  <si>
    <t>https://yandex.com/maps/org/pokrovskaya_pravoslavnaya_klassicheskaya_gimnaziya_imeni_svyatogo_aleksandra_nevskogo/1225212315/reviews/</t>
  </si>
  <si>
    <t>https://2gis.ru/saratov/firm/6052240280516554</t>
  </si>
  <si>
    <t>https://2gis.ru/saratov/firm/6052240280516554/tab/reviews</t>
  </si>
  <si>
    <t>ГБОУ Школа-интернат для обучающихся по адаптированным образовательным программам №4</t>
  </si>
  <si>
    <t>Школа-интернат №4 адаптированная</t>
  </si>
  <si>
    <t>ул Чернышевского, зд 157</t>
  </si>
  <si>
    <t>64:48:010304:663</t>
  </si>
  <si>
    <t>https://yandex.com/maps/org/boarding_school_4/18629834848/</t>
  </si>
  <si>
    <t>https://yandex.com/maps/org/boarding_school_4/18629834848/reviews/</t>
  </si>
  <si>
    <t>https://2gis.ru/saratov/firm/6052240280292297</t>
  </si>
  <si>
    <t>https://2gis.ru/saratov/firm/6052240280292297/tab/reviews</t>
  </si>
  <si>
    <t>Татарская Гимназия</t>
  </si>
  <si>
    <t>https://yandex.com/maps/org/munitsipalnoye_obshcheobrazovatelnoye_uchrezhdeniye_litsey_4/1010589817/</t>
  </si>
  <si>
    <t>https://yandex.com/maps/org/munitsipalnoye_obshcheobrazovatelnoye_uchrezhdeniye_litsey_4/1010589817/reviews/</t>
  </si>
  <si>
    <t>https://2gis.ru/saratov/firm/6052240280266554</t>
  </si>
  <si>
    <t>https://2gis.ru/saratov/firm/6052240280266554/tab/reviews</t>
  </si>
  <si>
    <t>МОУ Средняя общеобразовательная школа пос. Расково Муниципального образования Город Саратов</t>
  </si>
  <si>
    <t>Школа пос Расково</t>
  </si>
  <si>
    <t>п Расково, ул Полевая, зд 7Д</t>
  </si>
  <si>
    <t>64:32:022401:40</t>
  </si>
  <si>
    <t>https://2gis.ru/saratov/firm/6052240280303734</t>
  </si>
  <si>
    <t>https://2gis.ru/saratov/firm/6052240280303734/tab/reviews</t>
  </si>
  <si>
    <t>https://raskovo.gosuslugi.ru/</t>
  </si>
  <si>
    <t>67,8 - Средний балл на ЕГЭ в 2021 году</t>
  </si>
  <si>
    <t>70% - Выпускников поступивших в ВУЗы в 2021 году</t>
  </si>
  <si>
    <t>https://raskovo.gosuslugi.ru/svedeniya-ob-obrazovatelnoy-organizatsii/materialno-tehnicheskoe-obespechenie-dostupnaya-sreda/</t>
  </si>
  <si>
    <t>численость</t>
  </si>
  <si>
    <t>ссылка на численость</t>
  </si>
  <si>
    <t>https://lic36-sar.gosuslugi.ru/netcat_files/30/69/Komplektovanie_na_18.09_2025_2026_uch._god.pdf</t>
  </si>
  <si>
    <t>https://lic37-sar.gosuslugi.ru/netcat_files/30/69/0001.pdf</t>
  </si>
  <si>
    <t>https://school66vavilov.gosuslugi.ru/svedeniya-ob-obrazovatelnoy-organizatsii/Vizitka/</t>
  </si>
  <si>
    <t>https://gim7-sar.gosuslugi.ru/nasha-shkola/o-shkole/</t>
  </si>
  <si>
    <t>вычисление</t>
  </si>
  <si>
    <t>https://avrora-sar.gosuslugi.ru/svedeniya-ob-obrazovatelnoy-organizatsii/obrazovanie/</t>
  </si>
  <si>
    <t>https://shkola55saratov-r64.gosweb.gosuslugi.ru/netcat_files/30/69/informatsiya_o_chislennosti_obuchayuschihsya.pdf</t>
  </si>
  <si>
    <t>https://shk84-sar.gosuslugi.ru/netcat_files/30/69/Informatsiya_o_chislennosti_obuchayuschihsya.pdf</t>
  </si>
  <si>
    <t>https://liczej2saratov-r64.gosweb.gosuslugi.ru/svedeniya-ob-obrazovatelnoy-organizatsii/dokumenty/dokumenty-all_123.html</t>
  </si>
  <si>
    <t>https://shkola63saratov-r64.gosweb.gosuslugi.ru/svedeniya-ob-obrazovatelnoy-organizatsii/dokumenty/dokumenty-all_25.html</t>
  </si>
  <si>
    <t>https://shkola106saratov-r64.gosweb.gosuslugi.ru/nasha-shkola/o-shkole/</t>
  </si>
  <si>
    <t>https://liczejgumanitarnoekonomicheskijsaratov-r64.gosweb.gosuslugi.ru/netcat_files/30/69/Informatsiya_o_chislennosti_obuchayuschihsya_za_schet_byudzhetnyh_assignovaniy_federal_nogo_byudzheta_za_schet_byudzhetov_sub_ektov.pdf</t>
  </si>
  <si>
    <t>124 + 155</t>
  </si>
  <si>
    <t>https://lic107-sar.gosuslugi.ru/netcat_files/30/69/chisl_obuch.pdf</t>
  </si>
  <si>
    <t>https://inlic-sar.gosuslugi.ru/netcat_files/30/69/INFORMATsIYa_O_ChISLENNOSTI_27_02_26_p.pdf</t>
  </si>
  <si>
    <t>https://shk59-sar.gosuslugi.ru/netcat_files/30/69/informatsiya_o_chislennosti_obuchayuschihsya_na_02.09.2025.pdf</t>
  </si>
  <si>
    <t>https://shk44-sar.gosuslugi.ru/netcat_files/30/69/Informatsiya_o_chislennosti_obuchayuschihsya.pdf</t>
  </si>
  <si>
    <t>23 + 167</t>
  </si>
  <si>
    <t>https://gymn3sar.gosuslugi.ru/netcat_files/30/69/Collvo.pdf</t>
  </si>
  <si>
    <t>https://liczej56saratov-r64.gosweb.gosuslugi.ru/netcat_files/30/69/Informatsiya_o_chislennosti_obuchayuschihsya.pdf</t>
  </si>
  <si>
    <t>https://liczej53saratov-r64.gosweb.gosuslugi.ru/netcat_files/30/69/educhislen_2025_2026_.pdf</t>
  </si>
  <si>
    <t>алиса</t>
  </si>
  <si>
    <t>https://lyceum62.gosuslugi.ru/svedeniya-ob-obrazovatelnoy-organizatsii/dokumenty/dokumenty-all_25.html</t>
  </si>
  <si>
    <t>115 + 80</t>
  </si>
  <si>
    <t>https://shk54-sar.gosuslugi.ru/netcat_files/30/69/Informatsiya_o_chislennosti_obuchayuschihsya.pdf</t>
  </si>
  <si>
    <t>не могу найти</t>
  </si>
  <si>
    <t>https://gim31-sar.gosuslugi.ru/nasha-shkola/o-shkole/</t>
  </si>
  <si>
    <t>https://shk103-sar.gosuslugi.ru/netcat_files/30/69/Informatsiya_o_chislennosti_obuchayuschihsya.pdf</t>
  </si>
  <si>
    <t>https://gim108-sar.gosuslugi.ru/nasha-shkola/o-shkole/</t>
  </si>
  <si>
    <t>https://lic47-sar.gosuslugi.ru/netcat_files/30/69/Informatsiya_o_chislennosti_obuchayuschihsya.pdf</t>
  </si>
  <si>
    <t>https://solaris64.ru/special/education</t>
  </si>
  <si>
    <t>https://zvezda-sar.gosuslugi.ru/netcat_files/30/69/Informatsiya_o_chislennosti_obuchayuschihsya.pdf</t>
  </si>
  <si>
    <t>Лицей-интернат №64 </t>
  </si>
  <si>
    <t>https://aviator-sar.gosuslugi.ru/netcat_files/30/69/chisl.pdf</t>
  </si>
  <si>
    <t>https://moulpn.gosuslugi.ru/netcat_files/30/69/Informatsiya_o_chislennosti_obuchayuschihsya.pdf</t>
  </si>
  <si>
    <t>https://unikum64.gosuslugi.ru/netcat_files/33/46/Chislennost_obuchayuschihchya_na_01.05.26.pdf</t>
  </si>
  <si>
    <t>https://lic4-sar.gosuslugi.ru/svedeniya-ob-obrazovatelnoy-organizatsii/obrazovanie/</t>
  </si>
  <si>
    <t>https://lic3-sar.gosuslugi.ru/svedeniya-ob-obrazovatelnoy-organizatsii/dokumenty/dokumenty-all_74.html</t>
  </si>
  <si>
    <t>https://shk97-sar.gosuslugi.ru/netcat_files/30/69/Informatsiya_o_chislennosti_obuchayuschihsya.pdf</t>
  </si>
  <si>
    <t>http://school52.org.ru/node/18661</t>
  </si>
  <si>
    <t>https://school23saratov.gosuslugi.ru/nasha-shkola/o-shkole/</t>
  </si>
  <si>
    <t>https://sargymn1.gosuslugi.ru/netcat_files/30/69/Informatsiya_o_chislennosti_obuchayuschihsya_2025_2026_p.pdf</t>
  </si>
  <si>
    <t>https://sch46-saratov.gosuslugi.ru/svedeniya-ob-obrazovatelnoy-organizatsii/dokumenty/dokumenty-all_25.html</t>
  </si>
  <si>
    <t>159 + 33</t>
  </si>
  <si>
    <t>https://shkola26saratov-r64.gosweb.gosuslugi.ru/svedeniya-ob-obrazovatelnoy-organizatsii/dokumenty/dokumenty-all_25.html</t>
  </si>
  <si>
    <t>https://ntg-sar.gosuslugi.ru/netcat_files/30/69/Informatsiya_o_chislennosti_obuchayuschihsya.pdf</t>
  </si>
  <si>
    <t>https://shk82-sar.gosuslugi.ru/svedeniya-ob-obrazovatelnoy-organizatsii/obrazovanie/</t>
  </si>
  <si>
    <t>https://shk60-sar.gosuslugi.ru/svedeniya-ob-obrazovatelnoy-organizatsii/obrazovanie/</t>
  </si>
  <si>
    <t>https://sh-int3-saratov-r64.gosweb.gosuslugi.ru/svedeniya-ob-obrazovatelnoy-organizatsii/dokumenty/dokumenty-all_25.html</t>
  </si>
  <si>
    <t>https://shk7-sar.gosuslugi.ru/nasha-shkola/o-shkole/</t>
  </si>
  <si>
    <t>https://gim34-sar.gosuslugi.ru/svedeniya-ob-obrazovatelnoy-organizatsii/dokumenty/dokumenty-all_25.html</t>
  </si>
  <si>
    <t>https://shkola71saratov-r64.gosweb.gosuslugi.ru/nasha-shkola/o-shkole/</t>
  </si>
  <si>
    <t>https://shk67-sar.gosuslugi.ru/svedeniya-ob-obrazovatelnoy-organizatsii/dokumenty/dokumenty-all_25.html</t>
  </si>
  <si>
    <t>https://shk86-sar.gosuslugi.ru/nasha-shkola/o-shkole/</t>
  </si>
  <si>
    <t>https://shk10-sar.gosuslugi.ru/svedeniya-ob-obrazovatelnoy-organizatsii/dokumenty/dokumenty-all_25.html</t>
  </si>
  <si>
    <t>https://shk91-sar.gosuslugi.ru/svedeniya-ob-obrazovatelnoy-organizatsii/dokumenty/dokumenty-all_25.html</t>
  </si>
  <si>
    <t>https://shk83-sar.gosuslugi.ru/netcat_files/30/69/83_Plan_komplektovaniya_shkola_2023_2024_.pdf</t>
  </si>
  <si>
    <t>175 + 171</t>
  </si>
  <si>
    <t>https://school100sar.gosuslugi.ru/nasha-shkola/o-shkole/</t>
  </si>
  <si>
    <t>https://shkola17saratov-r64.gosweb.gosuslugi.ru/svedeniya-ob-obrazovatelnoy-organizatsii/dokumenty/dokumenty-all_25.html</t>
  </si>
  <si>
    <t>https://www.lien.ru/show/digest/</t>
  </si>
  <si>
    <t>https://shk94-sar.gosuslugi.ru/svedeniya-ob-obrazovatelnoy-organizatsii/dokumenty/dokumenty-all_25.html</t>
  </si>
  <si>
    <t>https://sh-int5-saratov-r64.gosweb.gosuslugi.ru/svedeniya-ob-obrazovatelnoy-organizatsii/obrazovanie/</t>
  </si>
  <si>
    <t>https://shkola70saratov-r64.gosweb.gosuslugi.ru/nasha-shkola/o-shkole/</t>
  </si>
  <si>
    <t>https://kleshevka.gosuslugi.ru/netcat_files/30/69/samoobsledovanie_kleshhevka_2021_0.pdf</t>
  </si>
  <si>
    <t>https://shkola78saratov-r64.gosweb.gosuslugi.ru/svedeniya-ob-obrazovatelnoy-organizatsii/dokumenty/dokumenty-all_25.html</t>
  </si>
  <si>
    <t>https://shkola-internat4.gosuslugi.ru/nasha-shkola/o-shkole/</t>
  </si>
  <si>
    <t>https://raskovo.gosuslugi.ru/svedeniya-ob-obrazovatelnoy-organizatsii/dokumenty/dokumenty-all_25.html</t>
  </si>
  <si>
    <t>73,4 - Средний балл на ЕГЭ за 2025</t>
  </si>
  <si>
    <t>80 % - Средний балл ЕГЭ английский язык - 2023/2024</t>
  </si>
  <si>
    <t>75,15 - Средний балл на ЕГЭ в 2022 году по русскому языку/общий</t>
  </si>
  <si>
    <t>62 - Максимальный балл на ЕГЭ в 2024 году</t>
  </si>
  <si>
    <t>70 + 64</t>
  </si>
  <si>
    <t>административный район</t>
  </si>
  <si>
    <t>Фрунзенский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</si>
</sst>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1"/>
    <xf numFmtId="0" fontId="0" fillId="0" borderId="0" xfId="0" applyNumberFormat="1"/>
    <xf numFmtId="0" fontId="0" fillId="2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k16-sar.gosuslugi.ru/" TargetMode="External"/><Relationship Id="rId2" Type="http://schemas.openxmlformats.org/officeDocument/2006/relationships/hyperlink" Target="https://solaris64.ru/special/education" TargetMode="External"/><Relationship Id="rId1" Type="http://schemas.openxmlformats.org/officeDocument/2006/relationships/hyperlink" Target="https://shkola71saratov-r64.gosweb.gosuslugi.ru/nasha-shkola/o-shkole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mbl-sar.gosuslugi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9"/>
  <sheetViews>
    <sheetView tabSelected="1" topLeftCell="H76" zoomScale="70" zoomScaleNormal="70" workbookViewId="0">
      <selection activeCell="AD90" sqref="AD90"/>
    </sheetView>
  </sheetViews>
  <sheetFormatPr defaultRowHeight="14.4" x14ac:dyDescent="0.3"/>
  <cols>
    <col min="2" max="2" width="22.5546875" customWidth="1"/>
    <col min="3" max="3" width="12.6640625" customWidth="1"/>
    <col min="5" max="5" width="22.109375" customWidth="1"/>
    <col min="6" max="6" width="107.33203125" customWidth="1"/>
    <col min="7" max="7" width="51.88671875" customWidth="1"/>
  </cols>
  <sheetData>
    <row r="1" spans="1:37" x14ac:dyDescent="0.3">
      <c r="A1" t="s">
        <v>0</v>
      </c>
      <c r="B1" t="s">
        <v>1438</v>
      </c>
      <c r="C1" t="s">
        <v>1437</v>
      </c>
      <c r="D1" t="s">
        <v>27</v>
      </c>
      <c r="E1" t="s">
        <v>25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1512</v>
      </c>
    </row>
    <row r="2" spans="1:37" x14ac:dyDescent="0.3">
      <c r="A2" t="s">
        <v>1511</v>
      </c>
      <c r="B2" t="s">
        <v>1442</v>
      </c>
      <c r="C2">
        <v>2051</v>
      </c>
      <c r="D2" t="s">
        <v>106</v>
      </c>
      <c r="E2" t="s">
        <v>104</v>
      </c>
      <c r="F2" t="s">
        <v>96</v>
      </c>
      <c r="G2" t="s">
        <v>97</v>
      </c>
      <c r="H2" t="s">
        <v>98</v>
      </c>
      <c r="I2" t="s">
        <v>36</v>
      </c>
      <c r="J2">
        <v>16269.2</v>
      </c>
      <c r="K2">
        <v>3</v>
      </c>
      <c r="L2">
        <v>1</v>
      </c>
      <c r="M2" t="s">
        <v>53</v>
      </c>
      <c r="N2">
        <v>2016</v>
      </c>
      <c r="P2">
        <v>825</v>
      </c>
      <c r="T2">
        <v>1</v>
      </c>
      <c r="U2">
        <v>51.577818000000001</v>
      </c>
      <c r="V2">
        <v>46.079315999999999</v>
      </c>
      <c r="W2" t="s">
        <v>99</v>
      </c>
      <c r="X2">
        <v>4.4000000000000004</v>
      </c>
      <c r="Y2">
        <v>4.2</v>
      </c>
      <c r="Z2" t="s">
        <v>100</v>
      </c>
      <c r="AA2" t="s">
        <v>101</v>
      </c>
      <c r="AB2" t="s">
        <v>102</v>
      </c>
      <c r="AC2" t="s">
        <v>103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>
        <v>67.38</v>
      </c>
    </row>
    <row r="3" spans="1:37" x14ac:dyDescent="0.3">
      <c r="A3" t="s">
        <v>1456</v>
      </c>
      <c r="B3" t="s">
        <v>1443</v>
      </c>
      <c r="C3" s="3">
        <f t="shared" ref="C3" si="0">J3/19</f>
        <v>389.90000000000003</v>
      </c>
      <c r="D3" t="s">
        <v>274</v>
      </c>
      <c r="E3" t="s">
        <v>272</v>
      </c>
      <c r="F3" t="s">
        <v>264</v>
      </c>
      <c r="G3" t="s">
        <v>265</v>
      </c>
      <c r="H3" t="s">
        <v>266</v>
      </c>
      <c r="I3" t="s">
        <v>36</v>
      </c>
      <c r="J3">
        <v>7408.1</v>
      </c>
      <c r="K3">
        <v>3</v>
      </c>
      <c r="L3">
        <v>1</v>
      </c>
      <c r="M3" t="s">
        <v>53</v>
      </c>
      <c r="N3">
        <v>1957</v>
      </c>
      <c r="T3">
        <v>1</v>
      </c>
      <c r="U3">
        <v>51.565379</v>
      </c>
      <c r="V3">
        <v>46.024222000000002</v>
      </c>
      <c r="W3" t="s">
        <v>267</v>
      </c>
      <c r="X3">
        <v>3</v>
      </c>
      <c r="Y3">
        <v>4.0999999999999996</v>
      </c>
      <c r="Z3" t="s">
        <v>268</v>
      </c>
      <c r="AA3" t="s">
        <v>269</v>
      </c>
      <c r="AB3" t="s">
        <v>270</v>
      </c>
      <c r="AC3" t="s">
        <v>271</v>
      </c>
      <c r="AD3" t="s">
        <v>273</v>
      </c>
      <c r="AE3" t="s">
        <v>274</v>
      </c>
      <c r="AF3" t="s">
        <v>107</v>
      </c>
      <c r="AG3" t="s">
        <v>107</v>
      </c>
      <c r="AH3" t="s">
        <v>275</v>
      </c>
      <c r="AI3" t="s">
        <v>79</v>
      </c>
      <c r="AJ3">
        <v>58.57</v>
      </c>
    </row>
    <row r="4" spans="1:37" x14ac:dyDescent="0.3">
      <c r="A4" t="s">
        <v>1496</v>
      </c>
      <c r="B4" t="s">
        <v>1494</v>
      </c>
      <c r="C4">
        <v>205</v>
      </c>
      <c r="D4" t="s">
        <v>107</v>
      </c>
      <c r="E4" t="s">
        <v>1171</v>
      </c>
      <c r="F4" t="s">
        <v>1163</v>
      </c>
      <c r="G4" t="s">
        <v>1164</v>
      </c>
      <c r="H4" t="s">
        <v>1165</v>
      </c>
      <c r="I4" t="s">
        <v>36</v>
      </c>
      <c r="J4">
        <v>1893.7</v>
      </c>
      <c r="K4">
        <v>3</v>
      </c>
      <c r="L4">
        <v>1</v>
      </c>
      <c r="N4">
        <v>1966</v>
      </c>
      <c r="U4">
        <v>51.421315</v>
      </c>
      <c r="V4">
        <v>45.954566999999997</v>
      </c>
      <c r="W4" t="s">
        <v>1166</v>
      </c>
      <c r="X4">
        <v>5</v>
      </c>
      <c r="Y4">
        <v>4.0999999999999996</v>
      </c>
      <c r="Z4" t="s">
        <v>1167</v>
      </c>
      <c r="AA4" t="s">
        <v>1168</v>
      </c>
      <c r="AB4" t="s">
        <v>1169</v>
      </c>
      <c r="AC4" t="s">
        <v>1170</v>
      </c>
      <c r="AD4" t="s">
        <v>107</v>
      </c>
      <c r="AE4" t="s">
        <v>107</v>
      </c>
      <c r="AF4" t="s">
        <v>107</v>
      </c>
      <c r="AG4" t="s">
        <v>107</v>
      </c>
      <c r="AH4" t="s">
        <v>1172</v>
      </c>
      <c r="AI4" t="s">
        <v>49</v>
      </c>
      <c r="AJ4">
        <v>36.86</v>
      </c>
    </row>
    <row r="5" spans="1:37" x14ac:dyDescent="0.3">
      <c r="A5" t="s">
        <v>1482</v>
      </c>
      <c r="B5" t="s">
        <v>1443</v>
      </c>
      <c r="C5" s="3">
        <f t="shared" ref="C5:C6" si="1">J5/19</f>
        <v>197.77368421052631</v>
      </c>
      <c r="D5" t="s">
        <v>822</v>
      </c>
      <c r="E5" t="s">
        <v>821</v>
      </c>
      <c r="F5" t="s">
        <v>913</v>
      </c>
      <c r="G5" t="s">
        <v>914</v>
      </c>
      <c r="H5" t="s">
        <v>915</v>
      </c>
      <c r="I5" t="s">
        <v>36</v>
      </c>
      <c r="J5">
        <v>3757.7</v>
      </c>
      <c r="K5">
        <v>3</v>
      </c>
      <c r="L5">
        <v>1</v>
      </c>
      <c r="M5" t="s">
        <v>53</v>
      </c>
      <c r="N5">
        <v>1963</v>
      </c>
      <c r="T5">
        <v>1</v>
      </c>
      <c r="U5">
        <v>51.593252</v>
      </c>
      <c r="V5">
        <v>45.954881</v>
      </c>
      <c r="W5" t="s">
        <v>916</v>
      </c>
      <c r="X5">
        <v>4.0999999999999996</v>
      </c>
      <c r="AB5" t="s">
        <v>917</v>
      </c>
      <c r="AC5" t="s">
        <v>918</v>
      </c>
      <c r="AD5" t="s">
        <v>107</v>
      </c>
      <c r="AE5" t="s">
        <v>822</v>
      </c>
      <c r="AF5" t="s">
        <v>823</v>
      </c>
      <c r="AG5" t="s">
        <v>107</v>
      </c>
      <c r="AH5" t="s">
        <v>824</v>
      </c>
      <c r="AI5" t="s">
        <v>95</v>
      </c>
      <c r="AJ5">
        <v>43.91</v>
      </c>
    </row>
    <row r="6" spans="1:37" x14ac:dyDescent="0.3">
      <c r="A6" t="s">
        <v>1451</v>
      </c>
      <c r="B6" t="s">
        <v>1443</v>
      </c>
      <c r="C6" s="3">
        <f t="shared" si="1"/>
        <v>782.99473684210523</v>
      </c>
      <c r="D6" t="s">
        <v>235</v>
      </c>
      <c r="E6" t="s">
        <v>234</v>
      </c>
      <c r="F6" t="s">
        <v>229</v>
      </c>
      <c r="G6" t="s">
        <v>230</v>
      </c>
      <c r="H6" t="s">
        <v>231</v>
      </c>
      <c r="I6" t="s">
        <v>83</v>
      </c>
      <c r="J6">
        <v>14876.9</v>
      </c>
      <c r="K6">
        <v>3</v>
      </c>
      <c r="L6">
        <v>1</v>
      </c>
      <c r="M6" t="s">
        <v>53</v>
      </c>
      <c r="N6">
        <v>1969</v>
      </c>
      <c r="O6">
        <v>2022</v>
      </c>
      <c r="T6">
        <v>1</v>
      </c>
      <c r="X6">
        <v>4.5999999999999996</v>
      </c>
      <c r="AB6" t="s">
        <v>232</v>
      </c>
      <c r="AC6" t="s">
        <v>233</v>
      </c>
      <c r="AD6" t="s">
        <v>107</v>
      </c>
      <c r="AE6" t="s">
        <v>235</v>
      </c>
      <c r="AF6" t="s">
        <v>236</v>
      </c>
      <c r="AG6" t="s">
        <v>107</v>
      </c>
      <c r="AH6" t="s">
        <v>237</v>
      </c>
      <c r="AI6" t="s">
        <v>49</v>
      </c>
      <c r="AJ6">
        <v>60.79</v>
      </c>
    </row>
    <row r="7" spans="1:37" x14ac:dyDescent="0.3">
      <c r="A7" t="s">
        <v>1462</v>
      </c>
      <c r="B7" t="s">
        <v>1443</v>
      </c>
      <c r="C7" s="3">
        <f t="shared" ref="C7" si="2">J7/19</f>
        <v>118.58947368421052</v>
      </c>
      <c r="D7" t="s">
        <v>107</v>
      </c>
      <c r="E7" t="s">
        <v>474</v>
      </c>
      <c r="F7" t="s">
        <v>466</v>
      </c>
      <c r="G7" t="s">
        <v>467</v>
      </c>
      <c r="H7" t="s">
        <v>489</v>
      </c>
      <c r="I7" t="s">
        <v>36</v>
      </c>
      <c r="J7">
        <v>2253.1999999999998</v>
      </c>
      <c r="K7">
        <v>3</v>
      </c>
      <c r="L7">
        <v>1</v>
      </c>
      <c r="M7" t="s">
        <v>53</v>
      </c>
      <c r="N7">
        <v>1936</v>
      </c>
      <c r="U7">
        <v>51.537512</v>
      </c>
      <c r="V7">
        <v>46.016156000000002</v>
      </c>
      <c r="W7" t="s">
        <v>490</v>
      </c>
      <c r="X7">
        <v>4.5999999999999996</v>
      </c>
      <c r="AB7" t="s">
        <v>491</v>
      </c>
      <c r="AC7" t="s">
        <v>492</v>
      </c>
      <c r="AD7" t="s">
        <v>475</v>
      </c>
      <c r="AE7" t="s">
        <v>107</v>
      </c>
      <c r="AF7" t="s">
        <v>122</v>
      </c>
      <c r="AG7" t="s">
        <v>476</v>
      </c>
      <c r="AH7" t="s">
        <v>477</v>
      </c>
      <c r="AI7" t="s">
        <v>95</v>
      </c>
      <c r="AJ7">
        <v>52.85</v>
      </c>
    </row>
    <row r="8" spans="1:37" x14ac:dyDescent="0.3">
      <c r="A8">
        <v>173</v>
      </c>
      <c r="B8" t="s">
        <v>1472</v>
      </c>
      <c r="C8">
        <v>1355</v>
      </c>
      <c r="D8" t="s">
        <v>107</v>
      </c>
      <c r="E8" t="s">
        <v>739</v>
      </c>
      <c r="F8" t="s">
        <v>731</v>
      </c>
      <c r="G8" t="s">
        <v>732</v>
      </c>
      <c r="H8" t="s">
        <v>733</v>
      </c>
      <c r="I8" t="s">
        <v>36</v>
      </c>
      <c r="J8">
        <v>20204.8</v>
      </c>
      <c r="K8">
        <v>3</v>
      </c>
      <c r="M8" t="s">
        <v>53</v>
      </c>
      <c r="N8">
        <v>2020</v>
      </c>
      <c r="P8">
        <v>1100</v>
      </c>
      <c r="T8">
        <v>1</v>
      </c>
      <c r="U8">
        <v>51.496250000000003</v>
      </c>
      <c r="V8">
        <v>45.952033999999998</v>
      </c>
      <c r="W8" t="s">
        <v>734</v>
      </c>
      <c r="X8">
        <v>4.9000000000000004</v>
      </c>
      <c r="Y8">
        <v>4</v>
      </c>
      <c r="Z8" t="s">
        <v>735</v>
      </c>
      <c r="AA8" t="s">
        <v>736</v>
      </c>
      <c r="AB8" t="s">
        <v>737</v>
      </c>
      <c r="AC8" t="s">
        <v>738</v>
      </c>
      <c r="AD8" t="s">
        <v>107</v>
      </c>
      <c r="AE8" t="s">
        <v>107</v>
      </c>
      <c r="AF8" t="s">
        <v>107</v>
      </c>
      <c r="AG8" t="s">
        <v>107</v>
      </c>
      <c r="AH8" t="s">
        <v>740</v>
      </c>
      <c r="AI8" t="s">
        <v>107</v>
      </c>
      <c r="AJ8">
        <v>47.32</v>
      </c>
    </row>
    <row r="9" spans="1:37" x14ac:dyDescent="0.3">
      <c r="A9">
        <v>170</v>
      </c>
      <c r="B9" s="2" t="s">
        <v>1469</v>
      </c>
      <c r="C9">
        <v>1100</v>
      </c>
      <c r="D9" t="s">
        <v>107</v>
      </c>
      <c r="E9" t="s">
        <v>692</v>
      </c>
      <c r="F9" t="s">
        <v>686</v>
      </c>
      <c r="G9" t="s">
        <v>1173</v>
      </c>
      <c r="H9" t="s">
        <v>1174</v>
      </c>
      <c r="I9" t="s">
        <v>36</v>
      </c>
      <c r="J9">
        <v>1866.9</v>
      </c>
      <c r="K9">
        <v>3</v>
      </c>
      <c r="L9">
        <v>1</v>
      </c>
      <c r="M9" t="s">
        <v>53</v>
      </c>
      <c r="N9">
        <v>2016</v>
      </c>
      <c r="P9">
        <v>1100</v>
      </c>
      <c r="T9">
        <v>1</v>
      </c>
      <c r="U9">
        <v>51.604765999999998</v>
      </c>
      <c r="V9">
        <v>46.018590000000003</v>
      </c>
      <c r="W9" t="s">
        <v>1175</v>
      </c>
      <c r="X9">
        <v>3.7</v>
      </c>
      <c r="Y9">
        <v>4.5</v>
      </c>
      <c r="Z9" t="s">
        <v>1176</v>
      </c>
      <c r="AA9" t="s">
        <v>1177</v>
      </c>
      <c r="AB9" t="s">
        <v>1178</v>
      </c>
      <c r="AC9" t="s">
        <v>1179</v>
      </c>
      <c r="AD9" t="s">
        <v>107</v>
      </c>
      <c r="AE9" t="s">
        <v>107</v>
      </c>
      <c r="AF9" t="s">
        <v>107</v>
      </c>
      <c r="AG9" t="s">
        <v>107</v>
      </c>
      <c r="AH9" t="s">
        <v>107</v>
      </c>
      <c r="AI9" t="s">
        <v>107</v>
      </c>
      <c r="AJ9">
        <v>36.14</v>
      </c>
    </row>
    <row r="10" spans="1:37" x14ac:dyDescent="0.3">
      <c r="A10">
        <v>169</v>
      </c>
      <c r="B10" t="s">
        <v>1443</v>
      </c>
      <c r="C10" s="3">
        <f t="shared" ref="C10" si="3">J10/19</f>
        <v>171.30526315789476</v>
      </c>
      <c r="D10" t="s">
        <v>107</v>
      </c>
      <c r="E10" t="s">
        <v>1236</v>
      </c>
      <c r="F10" t="s">
        <v>1228</v>
      </c>
      <c r="G10" t="s">
        <v>1229</v>
      </c>
      <c r="H10" t="s">
        <v>1230</v>
      </c>
      <c r="I10" t="s">
        <v>36</v>
      </c>
      <c r="J10">
        <v>3254.8</v>
      </c>
      <c r="K10">
        <v>3</v>
      </c>
      <c r="N10">
        <v>1970</v>
      </c>
      <c r="T10">
        <v>1</v>
      </c>
      <c r="U10">
        <v>51.474393999999997</v>
      </c>
      <c r="V10">
        <v>45.914583</v>
      </c>
      <c r="W10" t="s">
        <v>1231</v>
      </c>
      <c r="X10">
        <v>4.7</v>
      </c>
      <c r="Y10">
        <v>4.0999999999999996</v>
      </c>
      <c r="Z10" t="s">
        <v>1232</v>
      </c>
      <c r="AA10" t="s">
        <v>1233</v>
      </c>
      <c r="AB10" t="s">
        <v>1234</v>
      </c>
      <c r="AC10" t="s">
        <v>1235</v>
      </c>
      <c r="AD10" t="s">
        <v>1237</v>
      </c>
      <c r="AE10" t="s">
        <v>107</v>
      </c>
      <c r="AF10" t="s">
        <v>107</v>
      </c>
      <c r="AG10" t="s">
        <v>107</v>
      </c>
      <c r="AH10" t="s">
        <v>1238</v>
      </c>
      <c r="AI10" t="s">
        <v>107</v>
      </c>
      <c r="AJ10">
        <v>34.97</v>
      </c>
    </row>
    <row r="11" spans="1:37" x14ac:dyDescent="0.3">
      <c r="A11">
        <v>168</v>
      </c>
      <c r="B11" t="s">
        <v>1450</v>
      </c>
      <c r="C11">
        <v>1054</v>
      </c>
      <c r="D11" t="s">
        <v>107</v>
      </c>
      <c r="E11" t="s">
        <v>259</v>
      </c>
      <c r="F11" t="s">
        <v>251</v>
      </c>
      <c r="G11" t="s">
        <v>252</v>
      </c>
      <c r="H11" t="s">
        <v>253</v>
      </c>
      <c r="I11" t="s">
        <v>36</v>
      </c>
      <c r="J11">
        <v>8021.2</v>
      </c>
      <c r="K11">
        <v>3</v>
      </c>
      <c r="L11">
        <v>1</v>
      </c>
      <c r="M11" t="s">
        <v>53</v>
      </c>
      <c r="N11">
        <v>2009</v>
      </c>
      <c r="U11">
        <v>51.538352000000003</v>
      </c>
      <c r="V11">
        <v>46.044964</v>
      </c>
      <c r="W11" t="s">
        <v>254</v>
      </c>
      <c r="X11">
        <v>4.5999999999999996</v>
      </c>
      <c r="Y11">
        <v>4.2</v>
      </c>
      <c r="Z11" t="s">
        <v>255</v>
      </c>
      <c r="AA11" t="s">
        <v>256</v>
      </c>
      <c r="AB11" t="s">
        <v>257</v>
      </c>
      <c r="AC11" t="s">
        <v>258</v>
      </c>
      <c r="AD11" t="s">
        <v>260</v>
      </c>
      <c r="AE11" t="s">
        <v>107</v>
      </c>
      <c r="AF11" t="s">
        <v>261</v>
      </c>
      <c r="AG11" t="s">
        <v>262</v>
      </c>
      <c r="AH11" t="s">
        <v>263</v>
      </c>
      <c r="AI11" t="s">
        <v>138</v>
      </c>
      <c r="AJ11">
        <v>59.24</v>
      </c>
    </row>
    <row r="12" spans="1:37" x14ac:dyDescent="0.3">
      <c r="A12">
        <v>165</v>
      </c>
      <c r="B12" t="s">
        <v>1444</v>
      </c>
      <c r="C12">
        <v>2541</v>
      </c>
      <c r="D12" t="s">
        <v>149</v>
      </c>
      <c r="E12" t="s">
        <v>147</v>
      </c>
      <c r="F12" t="s">
        <v>139</v>
      </c>
      <c r="G12" t="s">
        <v>140</v>
      </c>
      <c r="H12" t="s">
        <v>141</v>
      </c>
      <c r="I12" t="s">
        <v>36</v>
      </c>
      <c r="J12">
        <v>20937.7</v>
      </c>
      <c r="K12">
        <v>3</v>
      </c>
      <c r="L12">
        <v>1</v>
      </c>
      <c r="M12" t="s">
        <v>53</v>
      </c>
      <c r="N12">
        <v>2018</v>
      </c>
      <c r="P12">
        <v>1100</v>
      </c>
      <c r="Q12">
        <v>1</v>
      </c>
      <c r="T12">
        <v>1</v>
      </c>
      <c r="U12">
        <v>51.611370999999998</v>
      </c>
      <c r="V12">
        <v>46.019981999999999</v>
      </c>
      <c r="W12" t="s">
        <v>142</v>
      </c>
      <c r="X12">
        <v>4.3</v>
      </c>
      <c r="Y12">
        <v>4.2</v>
      </c>
      <c r="Z12" t="s">
        <v>143</v>
      </c>
      <c r="AA12" t="s">
        <v>144</v>
      </c>
      <c r="AB12" t="s">
        <v>145</v>
      </c>
      <c r="AC12" t="s">
        <v>146</v>
      </c>
      <c r="AD12" t="s">
        <v>148</v>
      </c>
      <c r="AE12" t="s">
        <v>149</v>
      </c>
      <c r="AF12" t="s">
        <v>150</v>
      </c>
      <c r="AG12" t="s">
        <v>107</v>
      </c>
      <c r="AH12" t="s">
        <v>151</v>
      </c>
      <c r="AI12" t="s">
        <v>152</v>
      </c>
      <c r="AJ12">
        <v>64.52</v>
      </c>
    </row>
    <row r="13" spans="1:37" x14ac:dyDescent="0.3">
      <c r="A13">
        <v>164</v>
      </c>
      <c r="B13" t="s">
        <v>1443</v>
      </c>
      <c r="C13" s="3">
        <f t="shared" ref="C13" si="4">J13/19</f>
        <v>174.74736842105261</v>
      </c>
      <c r="D13" t="s">
        <v>149</v>
      </c>
      <c r="E13" t="s">
        <v>147</v>
      </c>
      <c r="F13" t="s">
        <v>859</v>
      </c>
      <c r="G13" t="s">
        <v>860</v>
      </c>
      <c r="H13" t="s">
        <v>861</v>
      </c>
      <c r="I13" t="s">
        <v>83</v>
      </c>
      <c r="J13">
        <v>3320.2</v>
      </c>
      <c r="K13">
        <v>3</v>
      </c>
      <c r="L13">
        <v>1</v>
      </c>
      <c r="M13" t="s">
        <v>53</v>
      </c>
      <c r="N13">
        <v>1962</v>
      </c>
      <c r="O13">
        <v>1962</v>
      </c>
      <c r="U13">
        <v>51.532221</v>
      </c>
      <c r="V13">
        <v>46.039344999999997</v>
      </c>
      <c r="W13" t="s">
        <v>862</v>
      </c>
      <c r="X13">
        <v>3.5</v>
      </c>
      <c r="Y13">
        <v>3.8</v>
      </c>
      <c r="Z13" t="s">
        <v>863</v>
      </c>
      <c r="AA13" t="s">
        <v>864</v>
      </c>
      <c r="AB13" t="s">
        <v>865</v>
      </c>
      <c r="AC13" t="s">
        <v>866</v>
      </c>
      <c r="AD13" t="s">
        <v>148</v>
      </c>
      <c r="AE13" t="s">
        <v>149</v>
      </c>
      <c r="AF13" t="s">
        <v>150</v>
      </c>
      <c r="AG13" t="s">
        <v>107</v>
      </c>
      <c r="AH13" t="s">
        <v>151</v>
      </c>
      <c r="AI13" t="s">
        <v>152</v>
      </c>
      <c r="AJ13">
        <v>45.08</v>
      </c>
    </row>
    <row r="14" spans="1:37" x14ac:dyDescent="0.3">
      <c r="A14">
        <v>163</v>
      </c>
      <c r="B14" t="s">
        <v>1491</v>
      </c>
      <c r="C14">
        <v>1124</v>
      </c>
      <c r="D14" t="s">
        <v>1124</v>
      </c>
      <c r="E14" t="s">
        <v>1123</v>
      </c>
      <c r="F14" t="s">
        <v>1115</v>
      </c>
      <c r="G14" t="s">
        <v>1116</v>
      </c>
      <c r="H14" t="s">
        <v>1117</v>
      </c>
      <c r="I14" t="s">
        <v>36</v>
      </c>
      <c r="J14">
        <v>5515.1</v>
      </c>
      <c r="K14">
        <v>3</v>
      </c>
      <c r="L14">
        <v>1</v>
      </c>
      <c r="M14" t="s">
        <v>53</v>
      </c>
      <c r="N14">
        <v>1902</v>
      </c>
      <c r="U14">
        <v>51.538313000000002</v>
      </c>
      <c r="V14">
        <v>46.013891999999998</v>
      </c>
      <c r="W14" t="s">
        <v>1118</v>
      </c>
      <c r="X14">
        <v>3.4</v>
      </c>
      <c r="Y14">
        <v>4</v>
      </c>
      <c r="Z14" t="s">
        <v>1119</v>
      </c>
      <c r="AA14" t="s">
        <v>1120</v>
      </c>
      <c r="AB14" t="s">
        <v>1121</v>
      </c>
      <c r="AC14" t="s">
        <v>1122</v>
      </c>
      <c r="AD14" t="s">
        <v>107</v>
      </c>
      <c r="AE14" t="s">
        <v>1124</v>
      </c>
      <c r="AF14" t="s">
        <v>1125</v>
      </c>
      <c r="AG14" t="s">
        <v>107</v>
      </c>
      <c r="AH14" t="s">
        <v>1126</v>
      </c>
      <c r="AI14" t="s">
        <v>138</v>
      </c>
      <c r="AJ14">
        <v>38.1</v>
      </c>
    </row>
    <row r="15" spans="1:37" x14ac:dyDescent="0.3">
      <c r="A15">
        <v>162</v>
      </c>
      <c r="B15" t="s">
        <v>1443</v>
      </c>
      <c r="C15" s="3">
        <f t="shared" ref="C15" si="5">J15/19</f>
        <v>220.91578947368419</v>
      </c>
      <c r="D15" t="s">
        <v>1507</v>
      </c>
      <c r="E15" t="s">
        <v>1273</v>
      </c>
      <c r="F15" t="s">
        <v>1265</v>
      </c>
      <c r="G15" t="s">
        <v>1266</v>
      </c>
      <c r="H15" t="s">
        <v>1267</v>
      </c>
      <c r="I15" t="s">
        <v>36</v>
      </c>
      <c r="J15">
        <v>4197.3999999999996</v>
      </c>
      <c r="K15">
        <v>3</v>
      </c>
      <c r="L15">
        <v>1</v>
      </c>
      <c r="M15" t="s">
        <v>53</v>
      </c>
      <c r="N15">
        <v>1917</v>
      </c>
      <c r="T15">
        <v>1</v>
      </c>
      <c r="U15">
        <v>51.521134000000004</v>
      </c>
      <c r="V15">
        <v>46.000489000000002</v>
      </c>
      <c r="W15" t="s">
        <v>1268</v>
      </c>
      <c r="X15">
        <v>3.8</v>
      </c>
      <c r="Y15">
        <v>4.0999999999999996</v>
      </c>
      <c r="Z15" t="s">
        <v>1269</v>
      </c>
      <c r="AA15" t="s">
        <v>1270</v>
      </c>
      <c r="AB15" t="s">
        <v>1271</v>
      </c>
      <c r="AC15" t="s">
        <v>1272</v>
      </c>
      <c r="AD15" t="s">
        <v>107</v>
      </c>
      <c r="AE15" t="s">
        <v>1274</v>
      </c>
      <c r="AF15" t="s">
        <v>1275</v>
      </c>
      <c r="AG15" t="s">
        <v>583</v>
      </c>
      <c r="AH15" t="s">
        <v>1276</v>
      </c>
      <c r="AI15" t="s">
        <v>138</v>
      </c>
      <c r="AJ15">
        <v>34.03</v>
      </c>
    </row>
    <row r="16" spans="1:37" x14ac:dyDescent="0.3">
      <c r="A16">
        <v>161</v>
      </c>
      <c r="B16" t="s">
        <v>1448</v>
      </c>
      <c r="C16">
        <v>1449</v>
      </c>
      <c r="D16" t="s">
        <v>225</v>
      </c>
      <c r="E16" t="s">
        <v>223</v>
      </c>
      <c r="F16" t="s">
        <v>217</v>
      </c>
      <c r="G16" t="s">
        <v>218</v>
      </c>
      <c r="H16" t="s">
        <v>219</v>
      </c>
      <c r="I16" t="s">
        <v>36</v>
      </c>
      <c r="J16">
        <v>7434.2</v>
      </c>
      <c r="K16">
        <v>3</v>
      </c>
      <c r="L16">
        <v>1</v>
      </c>
      <c r="M16" t="s">
        <v>37</v>
      </c>
      <c r="N16">
        <v>1989</v>
      </c>
      <c r="T16">
        <v>1</v>
      </c>
      <c r="U16">
        <v>51.611818999999997</v>
      </c>
      <c r="V16">
        <v>45.995800000000003</v>
      </c>
      <c r="W16" t="s">
        <v>220</v>
      </c>
      <c r="X16">
        <v>4.4000000000000004</v>
      </c>
      <c r="AB16" t="s">
        <v>221</v>
      </c>
      <c r="AC16" t="s">
        <v>222</v>
      </c>
      <c r="AD16" t="s">
        <v>224</v>
      </c>
      <c r="AE16" t="s">
        <v>225</v>
      </c>
      <c r="AF16" t="s">
        <v>226</v>
      </c>
      <c r="AG16" t="s">
        <v>227</v>
      </c>
      <c r="AH16" t="s">
        <v>228</v>
      </c>
      <c r="AI16" t="s">
        <v>107</v>
      </c>
      <c r="AJ16">
        <v>62.46</v>
      </c>
    </row>
    <row r="17" spans="1:36" x14ac:dyDescent="0.3">
      <c r="A17">
        <v>160</v>
      </c>
      <c r="B17" t="s">
        <v>1485</v>
      </c>
      <c r="C17">
        <v>664</v>
      </c>
      <c r="D17" t="s">
        <v>968</v>
      </c>
      <c r="E17" t="s">
        <v>967</v>
      </c>
      <c r="F17" t="s">
        <v>961</v>
      </c>
      <c r="G17" t="s">
        <v>962</v>
      </c>
      <c r="H17" t="s">
        <v>963</v>
      </c>
      <c r="I17" t="s">
        <v>36</v>
      </c>
      <c r="J17">
        <v>2626.5</v>
      </c>
      <c r="K17">
        <v>2</v>
      </c>
      <c r="M17" t="s">
        <v>53</v>
      </c>
      <c r="N17">
        <v>1951</v>
      </c>
      <c r="U17">
        <v>51.532738999999999</v>
      </c>
      <c r="V17">
        <v>45.975507</v>
      </c>
      <c r="W17" t="s">
        <v>964</v>
      </c>
      <c r="X17">
        <v>3.8</v>
      </c>
      <c r="AB17" t="s">
        <v>965</v>
      </c>
      <c r="AC17" t="s">
        <v>966</v>
      </c>
      <c r="AD17" t="s">
        <v>107</v>
      </c>
      <c r="AE17" t="s">
        <v>968</v>
      </c>
      <c r="AF17" t="s">
        <v>887</v>
      </c>
      <c r="AG17" t="s">
        <v>969</v>
      </c>
      <c r="AH17" t="s">
        <v>970</v>
      </c>
      <c r="AI17" t="s">
        <v>49</v>
      </c>
      <c r="AJ17">
        <v>42.52</v>
      </c>
    </row>
    <row r="18" spans="1:36" x14ac:dyDescent="0.3">
      <c r="A18">
        <v>158</v>
      </c>
      <c r="B18" t="s">
        <v>1478</v>
      </c>
      <c r="C18">
        <v>812</v>
      </c>
      <c r="D18" t="s">
        <v>845</v>
      </c>
      <c r="E18" t="s">
        <v>843</v>
      </c>
      <c r="F18" t="s">
        <v>837</v>
      </c>
      <c r="G18" t="s">
        <v>838</v>
      </c>
      <c r="H18" t="s">
        <v>839</v>
      </c>
      <c r="I18" t="s">
        <v>36</v>
      </c>
      <c r="J18">
        <v>3700.9</v>
      </c>
      <c r="K18">
        <v>3</v>
      </c>
      <c r="N18">
        <v>1960</v>
      </c>
      <c r="T18">
        <v>1</v>
      </c>
      <c r="U18">
        <v>51.572378</v>
      </c>
      <c r="V18">
        <v>45.884878999999998</v>
      </c>
      <c r="W18" t="s">
        <v>840</v>
      </c>
      <c r="X18">
        <v>4.5999999999999996</v>
      </c>
      <c r="AB18" t="s">
        <v>841</v>
      </c>
      <c r="AC18" t="s">
        <v>842</v>
      </c>
      <c r="AD18" t="s">
        <v>844</v>
      </c>
      <c r="AE18" t="s">
        <v>845</v>
      </c>
      <c r="AF18" t="s">
        <v>846</v>
      </c>
      <c r="AG18" t="s">
        <v>107</v>
      </c>
      <c r="AH18" t="s">
        <v>107</v>
      </c>
      <c r="AI18" t="s">
        <v>107</v>
      </c>
      <c r="AJ18">
        <v>45.13</v>
      </c>
    </row>
    <row r="19" spans="1:36" x14ac:dyDescent="0.3">
      <c r="A19">
        <v>157</v>
      </c>
      <c r="B19" t="s">
        <v>1443</v>
      </c>
      <c r="C19" s="3">
        <f t="shared" ref="C19" si="6">J19/19</f>
        <v>516.37368421052633</v>
      </c>
      <c r="D19" t="s">
        <v>107</v>
      </c>
      <c r="E19" t="s">
        <v>1057</v>
      </c>
      <c r="F19" t="s">
        <v>1049</v>
      </c>
      <c r="G19" t="s">
        <v>1151</v>
      </c>
      <c r="H19" t="s">
        <v>1152</v>
      </c>
      <c r="I19" t="s">
        <v>36</v>
      </c>
      <c r="J19">
        <v>9811.1</v>
      </c>
      <c r="K19">
        <v>3</v>
      </c>
      <c r="L19">
        <v>1</v>
      </c>
      <c r="M19" t="s">
        <v>156</v>
      </c>
      <c r="N19">
        <v>1948</v>
      </c>
      <c r="T19">
        <v>1</v>
      </c>
      <c r="U19">
        <v>51.533141999999998</v>
      </c>
      <c r="V19">
        <v>45.986808000000003</v>
      </c>
      <c r="W19" t="s">
        <v>1153</v>
      </c>
      <c r="X19">
        <v>2.4</v>
      </c>
      <c r="AB19" t="s">
        <v>1154</v>
      </c>
      <c r="AC19" t="s">
        <v>1155</v>
      </c>
      <c r="AD19" t="s">
        <v>107</v>
      </c>
      <c r="AE19" t="s">
        <v>107</v>
      </c>
      <c r="AF19" t="s">
        <v>107</v>
      </c>
      <c r="AG19" t="s">
        <v>107</v>
      </c>
      <c r="AH19" t="s">
        <v>1058</v>
      </c>
      <c r="AI19" t="s">
        <v>49</v>
      </c>
      <c r="AJ19">
        <v>37.28</v>
      </c>
    </row>
    <row r="20" spans="1:36" x14ac:dyDescent="0.3">
      <c r="A20">
        <v>156</v>
      </c>
      <c r="B20" t="s">
        <v>1443</v>
      </c>
      <c r="C20" s="3">
        <f t="shared" ref="C20" si="7">J20/19</f>
        <v>430.87368421052633</v>
      </c>
      <c r="D20" t="s">
        <v>874</v>
      </c>
      <c r="E20" t="s">
        <v>873</v>
      </c>
      <c r="F20" t="s">
        <v>867</v>
      </c>
      <c r="G20" t="s">
        <v>868</v>
      </c>
      <c r="H20" t="s">
        <v>869</v>
      </c>
      <c r="I20" t="s">
        <v>36</v>
      </c>
      <c r="J20">
        <v>8186.6</v>
      </c>
      <c r="K20">
        <v>3</v>
      </c>
      <c r="L20">
        <v>1</v>
      </c>
      <c r="M20" t="s">
        <v>53</v>
      </c>
      <c r="N20">
        <v>1987</v>
      </c>
      <c r="U20">
        <v>51.551938</v>
      </c>
      <c r="V20">
        <v>46.052793000000001</v>
      </c>
      <c r="W20" t="s">
        <v>870</v>
      </c>
      <c r="X20">
        <v>3.5</v>
      </c>
      <c r="AB20" t="s">
        <v>871</v>
      </c>
      <c r="AC20" t="s">
        <v>872</v>
      </c>
      <c r="AD20" t="s">
        <v>148</v>
      </c>
      <c r="AE20" t="s">
        <v>874</v>
      </c>
      <c r="AF20" t="s">
        <v>107</v>
      </c>
      <c r="AG20" t="s">
        <v>875</v>
      </c>
      <c r="AH20" t="s">
        <v>876</v>
      </c>
      <c r="AI20" t="s">
        <v>79</v>
      </c>
      <c r="AJ20">
        <v>45.07</v>
      </c>
    </row>
    <row r="21" spans="1:36" x14ac:dyDescent="0.3">
      <c r="A21">
        <v>154</v>
      </c>
      <c r="B21" t="s">
        <v>1469</v>
      </c>
      <c r="C21">
        <v>3328</v>
      </c>
      <c r="D21" t="s">
        <v>107</v>
      </c>
      <c r="E21" t="s">
        <v>692</v>
      </c>
      <c r="F21" t="s">
        <v>686</v>
      </c>
      <c r="G21" t="s">
        <v>687</v>
      </c>
      <c r="H21" t="s">
        <v>688</v>
      </c>
      <c r="I21" t="s">
        <v>36</v>
      </c>
      <c r="J21">
        <v>20984.799999999999</v>
      </c>
      <c r="K21">
        <v>3</v>
      </c>
      <c r="L21">
        <v>1</v>
      </c>
      <c r="M21" t="s">
        <v>53</v>
      </c>
      <c r="N21">
        <v>2021</v>
      </c>
      <c r="P21">
        <v>1100</v>
      </c>
      <c r="T21">
        <v>1</v>
      </c>
      <c r="U21">
        <v>51.604497000000002</v>
      </c>
      <c r="V21">
        <v>46.025103000000001</v>
      </c>
      <c r="W21" t="s">
        <v>689</v>
      </c>
      <c r="X21">
        <v>4.8</v>
      </c>
      <c r="AB21" t="s">
        <v>690</v>
      </c>
      <c r="AC21" t="s">
        <v>691</v>
      </c>
      <c r="AD21" t="s">
        <v>107</v>
      </c>
      <c r="AE21" t="s">
        <v>107</v>
      </c>
      <c r="AF21" t="s">
        <v>107</v>
      </c>
      <c r="AG21" t="s">
        <v>107</v>
      </c>
      <c r="AH21" t="s">
        <v>107</v>
      </c>
      <c r="AI21" t="s">
        <v>107</v>
      </c>
      <c r="AJ21">
        <v>48.68</v>
      </c>
    </row>
    <row r="22" spans="1:36" x14ac:dyDescent="0.3">
      <c r="A22">
        <v>153</v>
      </c>
      <c r="B22" t="s">
        <v>1488</v>
      </c>
      <c r="C22">
        <v>610</v>
      </c>
      <c r="D22" t="s">
        <v>1066</v>
      </c>
      <c r="E22" t="s">
        <v>1065</v>
      </c>
      <c r="F22" t="s">
        <v>1059</v>
      </c>
      <c r="G22" t="s">
        <v>1060</v>
      </c>
      <c r="H22" t="s">
        <v>1061</v>
      </c>
      <c r="I22" t="s">
        <v>36</v>
      </c>
      <c r="J22">
        <v>5513.4</v>
      </c>
      <c r="K22">
        <v>3</v>
      </c>
      <c r="L22">
        <v>1</v>
      </c>
      <c r="M22" t="s">
        <v>53</v>
      </c>
      <c r="N22">
        <v>1936</v>
      </c>
      <c r="T22">
        <v>1</v>
      </c>
      <c r="U22">
        <v>51.532161000000002</v>
      </c>
      <c r="V22">
        <v>45.988639999999997</v>
      </c>
      <c r="W22" t="s">
        <v>1062</v>
      </c>
      <c r="X22">
        <v>4.4000000000000004</v>
      </c>
      <c r="AB22" t="s">
        <v>1063</v>
      </c>
      <c r="AC22" t="s">
        <v>1064</v>
      </c>
      <c r="AD22" t="s">
        <v>534</v>
      </c>
      <c r="AE22" t="s">
        <v>1066</v>
      </c>
      <c r="AF22" t="s">
        <v>1067</v>
      </c>
      <c r="AG22" t="s">
        <v>215</v>
      </c>
      <c r="AH22" t="s">
        <v>1068</v>
      </c>
      <c r="AI22" t="s">
        <v>49</v>
      </c>
      <c r="AJ22">
        <v>39.46</v>
      </c>
    </row>
    <row r="23" spans="1:36" x14ac:dyDescent="0.3">
      <c r="A23">
        <v>130</v>
      </c>
      <c r="B23" t="s">
        <v>1503</v>
      </c>
      <c r="C23">
        <v>160</v>
      </c>
      <c r="D23" t="s">
        <v>107</v>
      </c>
      <c r="E23" t="s">
        <v>1384</v>
      </c>
      <c r="F23" t="s">
        <v>1378</v>
      </c>
      <c r="G23" t="s">
        <v>1379</v>
      </c>
      <c r="H23" t="s">
        <v>1380</v>
      </c>
      <c r="I23" t="s">
        <v>36</v>
      </c>
      <c r="J23">
        <v>1877.4</v>
      </c>
      <c r="K23">
        <v>2</v>
      </c>
      <c r="M23" t="s">
        <v>53</v>
      </c>
      <c r="N23">
        <v>1981</v>
      </c>
      <c r="U23">
        <v>51.727286999999997</v>
      </c>
      <c r="V23">
        <v>46.047668000000002</v>
      </c>
      <c r="W23" t="s">
        <v>1381</v>
      </c>
      <c r="AB23" t="s">
        <v>1382</v>
      </c>
      <c r="AC23" t="s">
        <v>1383</v>
      </c>
      <c r="AD23" t="s">
        <v>148</v>
      </c>
      <c r="AE23" t="s">
        <v>107</v>
      </c>
      <c r="AF23" t="s">
        <v>107</v>
      </c>
      <c r="AG23" t="s">
        <v>107</v>
      </c>
      <c r="AH23" t="s">
        <v>1385</v>
      </c>
      <c r="AI23" t="s">
        <v>49</v>
      </c>
      <c r="AJ23">
        <v>31.6</v>
      </c>
    </row>
    <row r="24" spans="1:36" x14ac:dyDescent="0.3">
      <c r="A24">
        <v>122</v>
      </c>
      <c r="B24" t="s">
        <v>1506</v>
      </c>
      <c r="C24">
        <v>193</v>
      </c>
      <c r="D24" t="s">
        <v>1434</v>
      </c>
      <c r="E24" t="s">
        <v>1433</v>
      </c>
      <c r="F24" t="s">
        <v>1427</v>
      </c>
      <c r="G24" t="s">
        <v>1428</v>
      </c>
      <c r="H24" t="s">
        <v>1429</v>
      </c>
      <c r="I24" t="s">
        <v>36</v>
      </c>
      <c r="J24">
        <v>1085</v>
      </c>
      <c r="K24">
        <v>2</v>
      </c>
      <c r="M24" t="s">
        <v>37</v>
      </c>
      <c r="N24">
        <v>1973</v>
      </c>
      <c r="U24">
        <v>51.625428999999997</v>
      </c>
      <c r="V24">
        <v>46.032085000000002</v>
      </c>
      <c r="W24" t="s">
        <v>1430</v>
      </c>
      <c r="AB24" t="s">
        <v>1431</v>
      </c>
      <c r="AC24" t="s">
        <v>1432</v>
      </c>
      <c r="AD24" t="s">
        <v>107</v>
      </c>
      <c r="AE24" t="s">
        <v>1434</v>
      </c>
      <c r="AF24" t="s">
        <v>1435</v>
      </c>
      <c r="AG24" t="s">
        <v>857</v>
      </c>
      <c r="AH24" t="s">
        <v>1436</v>
      </c>
      <c r="AI24" t="s">
        <v>107</v>
      </c>
      <c r="AJ24">
        <v>25.9</v>
      </c>
    </row>
    <row r="25" spans="1:36" x14ac:dyDescent="0.3">
      <c r="A25">
        <v>117</v>
      </c>
      <c r="B25" t="s">
        <v>1493</v>
      </c>
      <c r="C25">
        <v>616</v>
      </c>
      <c r="D25" t="s">
        <v>107</v>
      </c>
      <c r="E25" t="s">
        <v>1162</v>
      </c>
      <c r="F25" t="s">
        <v>1156</v>
      </c>
      <c r="G25" t="s">
        <v>1157</v>
      </c>
      <c r="H25" t="s">
        <v>1158</v>
      </c>
      <c r="I25" t="s">
        <v>36</v>
      </c>
      <c r="J25">
        <v>5787.6</v>
      </c>
      <c r="K25">
        <v>3</v>
      </c>
      <c r="L25">
        <v>1</v>
      </c>
      <c r="M25" t="s">
        <v>53</v>
      </c>
      <c r="N25">
        <v>1988</v>
      </c>
      <c r="T25">
        <v>1</v>
      </c>
      <c r="U25">
        <v>51.535893000000002</v>
      </c>
      <c r="V25">
        <v>46.058897000000002</v>
      </c>
      <c r="W25" t="s">
        <v>1159</v>
      </c>
      <c r="X25">
        <v>4.3</v>
      </c>
      <c r="AB25" t="s">
        <v>1160</v>
      </c>
      <c r="AC25" t="s">
        <v>1161</v>
      </c>
      <c r="AD25" t="s">
        <v>107</v>
      </c>
      <c r="AE25" t="s">
        <v>107</v>
      </c>
      <c r="AF25" t="s">
        <v>107</v>
      </c>
      <c r="AG25" t="s">
        <v>107</v>
      </c>
      <c r="AH25" t="s">
        <v>107</v>
      </c>
      <c r="AI25" t="s">
        <v>107</v>
      </c>
      <c r="AJ25">
        <v>37.159999999999997</v>
      </c>
    </row>
    <row r="26" spans="1:36" x14ac:dyDescent="0.3">
      <c r="A26">
        <v>111</v>
      </c>
      <c r="B26" t="s">
        <v>1443</v>
      </c>
      <c r="C26" s="3">
        <f t="shared" ref="C26" si="8">J26/19</f>
        <v>15.905263157894737</v>
      </c>
      <c r="D26" t="s">
        <v>1508</v>
      </c>
      <c r="E26" t="s">
        <v>749</v>
      </c>
      <c r="F26" t="s">
        <v>1027</v>
      </c>
      <c r="G26" t="s">
        <v>1028</v>
      </c>
      <c r="H26" t="s">
        <v>1099</v>
      </c>
      <c r="I26" t="s">
        <v>36</v>
      </c>
      <c r="J26">
        <v>302.2</v>
      </c>
      <c r="K26">
        <v>2</v>
      </c>
      <c r="M26" t="s">
        <v>53</v>
      </c>
      <c r="N26">
        <v>2021</v>
      </c>
      <c r="U26">
        <v>51.535204</v>
      </c>
      <c r="V26">
        <v>46.020674</v>
      </c>
      <c r="W26" t="s">
        <v>1100</v>
      </c>
      <c r="Z26" t="s">
        <v>1101</v>
      </c>
      <c r="AA26" t="s">
        <v>1102</v>
      </c>
      <c r="AB26" t="s">
        <v>1103</v>
      </c>
      <c r="AC26" t="s">
        <v>1104</v>
      </c>
      <c r="AD26" t="s">
        <v>750</v>
      </c>
      <c r="AE26" t="s">
        <v>751</v>
      </c>
      <c r="AF26" t="s">
        <v>107</v>
      </c>
      <c r="AG26" t="s">
        <v>752</v>
      </c>
      <c r="AH26" t="s">
        <v>107</v>
      </c>
      <c r="AI26" t="s">
        <v>107</v>
      </c>
      <c r="AJ26">
        <v>38.58</v>
      </c>
    </row>
    <row r="27" spans="1:36" x14ac:dyDescent="0.3">
      <c r="A27">
        <v>110</v>
      </c>
      <c r="B27" t="s">
        <v>1443</v>
      </c>
      <c r="C27" s="3">
        <f t="shared" ref="C27" si="9">J27/19</f>
        <v>64.594736842105263</v>
      </c>
      <c r="D27" t="s">
        <v>773</v>
      </c>
      <c r="E27" s="2" t="s">
        <v>772</v>
      </c>
      <c r="F27" t="s">
        <v>764</v>
      </c>
      <c r="G27" t="s">
        <v>765</v>
      </c>
      <c r="H27" t="s">
        <v>1239</v>
      </c>
      <c r="I27" t="s">
        <v>36</v>
      </c>
      <c r="J27">
        <v>1227.3</v>
      </c>
      <c r="K27">
        <v>2</v>
      </c>
      <c r="N27">
        <v>1961</v>
      </c>
      <c r="U27">
        <v>51.468581</v>
      </c>
      <c r="V27">
        <v>45.951594</v>
      </c>
      <c r="W27" t="s">
        <v>1240</v>
      </c>
      <c r="Z27" t="s">
        <v>1241</v>
      </c>
      <c r="AA27" t="s">
        <v>1242</v>
      </c>
      <c r="AB27" t="s">
        <v>1243</v>
      </c>
      <c r="AC27" t="s">
        <v>1244</v>
      </c>
      <c r="AD27" t="s">
        <v>148</v>
      </c>
      <c r="AE27" t="s">
        <v>773</v>
      </c>
      <c r="AF27" t="s">
        <v>774</v>
      </c>
      <c r="AG27" t="s">
        <v>775</v>
      </c>
      <c r="AH27" t="s">
        <v>776</v>
      </c>
      <c r="AI27" t="s">
        <v>79</v>
      </c>
      <c r="AJ27">
        <v>34.92</v>
      </c>
    </row>
    <row r="28" spans="1:36" x14ac:dyDescent="0.3">
      <c r="A28">
        <v>109</v>
      </c>
      <c r="B28" t="s">
        <v>1443</v>
      </c>
      <c r="C28" s="3">
        <f t="shared" ref="C28" si="10">J28/19</f>
        <v>52.578947368421055</v>
      </c>
      <c r="D28" t="s">
        <v>107</v>
      </c>
      <c r="E28" t="s">
        <v>474</v>
      </c>
      <c r="F28" t="s">
        <v>466</v>
      </c>
      <c r="G28" t="s">
        <v>467</v>
      </c>
      <c r="H28" t="s">
        <v>468</v>
      </c>
      <c r="I28" t="s">
        <v>36</v>
      </c>
      <c r="J28">
        <v>999</v>
      </c>
      <c r="K28">
        <v>2</v>
      </c>
      <c r="L28">
        <v>1</v>
      </c>
      <c r="N28">
        <v>1970</v>
      </c>
      <c r="T28">
        <v>1</v>
      </c>
      <c r="U28">
        <v>51.537058000000002</v>
      </c>
      <c r="V28">
        <v>46.007998999999998</v>
      </c>
      <c r="W28" t="s">
        <v>469</v>
      </c>
      <c r="X28">
        <v>2.6</v>
      </c>
      <c r="Y28">
        <v>4.3</v>
      </c>
      <c r="Z28" t="s">
        <v>470</v>
      </c>
      <c r="AA28" t="s">
        <v>471</v>
      </c>
      <c r="AB28" t="s">
        <v>472</v>
      </c>
      <c r="AC28" t="s">
        <v>473</v>
      </c>
      <c r="AD28" t="s">
        <v>475</v>
      </c>
      <c r="AE28" t="s">
        <v>107</v>
      </c>
      <c r="AF28" t="s">
        <v>122</v>
      </c>
      <c r="AG28" t="s">
        <v>476</v>
      </c>
      <c r="AH28" t="s">
        <v>477</v>
      </c>
      <c r="AI28" t="s">
        <v>95</v>
      </c>
      <c r="AJ28">
        <v>53.77</v>
      </c>
    </row>
    <row r="29" spans="1:36" x14ac:dyDescent="0.3">
      <c r="A29">
        <v>108</v>
      </c>
      <c r="B29" t="s">
        <v>1464</v>
      </c>
      <c r="C29" s="3">
        <f t="shared" ref="C29" si="11">J29/19</f>
        <v>93.831578947368413</v>
      </c>
      <c r="D29" t="s">
        <v>107</v>
      </c>
      <c r="E29" t="s">
        <v>259</v>
      </c>
      <c r="F29" t="s">
        <v>251</v>
      </c>
      <c r="G29" t="s">
        <v>539</v>
      </c>
      <c r="H29" t="s">
        <v>540</v>
      </c>
      <c r="I29" t="s">
        <v>36</v>
      </c>
      <c r="J29">
        <v>1782.8</v>
      </c>
      <c r="K29">
        <v>2</v>
      </c>
      <c r="M29" t="s">
        <v>53</v>
      </c>
      <c r="N29">
        <v>1935</v>
      </c>
      <c r="U29">
        <v>51.544671000000001</v>
      </c>
      <c r="V29">
        <v>46.042952</v>
      </c>
      <c r="W29" t="s">
        <v>541</v>
      </c>
      <c r="X29">
        <v>4.0999999999999996</v>
      </c>
      <c r="Y29">
        <v>4.2</v>
      </c>
      <c r="Z29" t="s">
        <v>542</v>
      </c>
      <c r="AA29" t="s">
        <v>543</v>
      </c>
      <c r="AB29" t="s">
        <v>544</v>
      </c>
      <c r="AC29" t="s">
        <v>545</v>
      </c>
      <c r="AD29" t="s">
        <v>260</v>
      </c>
      <c r="AE29" t="s">
        <v>107</v>
      </c>
      <c r="AF29" t="s">
        <v>261</v>
      </c>
      <c r="AG29" t="s">
        <v>262</v>
      </c>
      <c r="AH29" t="s">
        <v>263</v>
      </c>
      <c r="AI29" t="s">
        <v>138</v>
      </c>
      <c r="AJ29">
        <v>50.87</v>
      </c>
    </row>
    <row r="30" spans="1:36" x14ac:dyDescent="0.3">
      <c r="A30">
        <v>107</v>
      </c>
      <c r="B30" t="s">
        <v>580</v>
      </c>
      <c r="C30">
        <v>398</v>
      </c>
      <c r="D30" t="s">
        <v>581</v>
      </c>
      <c r="E30" t="s">
        <v>580</v>
      </c>
      <c r="F30" t="s">
        <v>572</v>
      </c>
      <c r="G30" t="s">
        <v>573</v>
      </c>
      <c r="H30" t="s">
        <v>574</v>
      </c>
      <c r="I30" t="s">
        <v>36</v>
      </c>
      <c r="J30">
        <v>16335.9</v>
      </c>
      <c r="K30">
        <v>3</v>
      </c>
      <c r="L30">
        <v>1</v>
      </c>
      <c r="M30" t="s">
        <v>53</v>
      </c>
      <c r="N30">
        <v>2024</v>
      </c>
      <c r="U30">
        <v>51.584786000000001</v>
      </c>
      <c r="V30">
        <v>45.990949000000001</v>
      </c>
      <c r="W30" t="s">
        <v>575</v>
      </c>
      <c r="X30">
        <v>4.7</v>
      </c>
      <c r="Y30">
        <v>3.8</v>
      </c>
      <c r="Z30" t="s">
        <v>576</v>
      </c>
      <c r="AA30" t="s">
        <v>577</v>
      </c>
      <c r="AB30" t="s">
        <v>578</v>
      </c>
      <c r="AC30" t="s">
        <v>579</v>
      </c>
      <c r="AD30" t="s">
        <v>148</v>
      </c>
      <c r="AE30" t="s">
        <v>581</v>
      </c>
      <c r="AF30" t="s">
        <v>582</v>
      </c>
      <c r="AG30" t="s">
        <v>583</v>
      </c>
      <c r="AH30" t="s">
        <v>584</v>
      </c>
      <c r="AI30" t="s">
        <v>79</v>
      </c>
      <c r="AJ30">
        <v>50.19</v>
      </c>
    </row>
    <row r="31" spans="1:36" x14ac:dyDescent="0.3">
      <c r="A31">
        <v>106</v>
      </c>
      <c r="B31" t="s">
        <v>1458</v>
      </c>
      <c r="C31">
        <v>1008</v>
      </c>
      <c r="D31" t="s">
        <v>426</v>
      </c>
      <c r="E31" t="s">
        <v>425</v>
      </c>
      <c r="F31" t="s">
        <v>417</v>
      </c>
      <c r="G31" t="s">
        <v>418</v>
      </c>
      <c r="H31" t="s">
        <v>419</v>
      </c>
      <c r="I31" t="s">
        <v>36</v>
      </c>
      <c r="J31">
        <v>5904.4</v>
      </c>
      <c r="K31">
        <v>3</v>
      </c>
      <c r="M31" t="s">
        <v>53</v>
      </c>
      <c r="N31">
        <v>1968</v>
      </c>
      <c r="T31">
        <v>1</v>
      </c>
      <c r="U31">
        <v>51.605212999999999</v>
      </c>
      <c r="V31">
        <v>45.973405</v>
      </c>
      <c r="W31" t="s">
        <v>420</v>
      </c>
      <c r="X31">
        <v>4</v>
      </c>
      <c r="Y31">
        <v>4.2</v>
      </c>
      <c r="Z31" t="s">
        <v>421</v>
      </c>
      <c r="AA31" t="s">
        <v>422</v>
      </c>
      <c r="AB31" t="s">
        <v>423</v>
      </c>
      <c r="AC31" t="s">
        <v>424</v>
      </c>
      <c r="AD31" t="s">
        <v>107</v>
      </c>
      <c r="AE31" t="s">
        <v>426</v>
      </c>
      <c r="AF31" t="s">
        <v>122</v>
      </c>
      <c r="AG31" t="s">
        <v>427</v>
      </c>
      <c r="AH31" t="s">
        <v>428</v>
      </c>
      <c r="AI31" t="s">
        <v>49</v>
      </c>
      <c r="AJ31">
        <v>54.53</v>
      </c>
    </row>
    <row r="32" spans="1:36" x14ac:dyDescent="0.3">
      <c r="A32">
        <v>105</v>
      </c>
      <c r="B32" t="s">
        <v>1441</v>
      </c>
      <c r="C32">
        <v>110</v>
      </c>
      <c r="D32" t="s">
        <v>91</v>
      </c>
      <c r="E32" t="s">
        <v>89</v>
      </c>
      <c r="F32" t="s">
        <v>80</v>
      </c>
      <c r="G32" t="s">
        <v>518</v>
      </c>
      <c r="H32" t="s">
        <v>519</v>
      </c>
      <c r="I32" t="s">
        <v>36</v>
      </c>
      <c r="J32">
        <v>1148.4000000000001</v>
      </c>
      <c r="K32">
        <v>1</v>
      </c>
      <c r="M32" t="s">
        <v>53</v>
      </c>
      <c r="N32">
        <v>1958</v>
      </c>
      <c r="U32">
        <v>51.568235000000001</v>
      </c>
      <c r="V32">
        <v>46.055411999999997</v>
      </c>
      <c r="W32" t="s">
        <v>520</v>
      </c>
      <c r="X32">
        <v>5</v>
      </c>
      <c r="Y32">
        <v>4.2</v>
      </c>
      <c r="Z32" t="s">
        <v>521</v>
      </c>
      <c r="AA32" t="s">
        <v>522</v>
      </c>
      <c r="AB32" t="s">
        <v>523</v>
      </c>
      <c r="AC32" t="s">
        <v>524</v>
      </c>
      <c r="AD32" t="s">
        <v>90</v>
      </c>
      <c r="AE32" t="s">
        <v>91</v>
      </c>
      <c r="AF32" t="s">
        <v>92</v>
      </c>
      <c r="AG32" t="s">
        <v>93</v>
      </c>
      <c r="AH32" t="s">
        <v>94</v>
      </c>
      <c r="AI32" t="s">
        <v>95</v>
      </c>
      <c r="AJ32">
        <v>51.54</v>
      </c>
    </row>
    <row r="33" spans="1:36" x14ac:dyDescent="0.3">
      <c r="A33">
        <v>104</v>
      </c>
      <c r="B33" t="s">
        <v>632</v>
      </c>
      <c r="C33">
        <v>647</v>
      </c>
      <c r="D33" t="s">
        <v>107</v>
      </c>
      <c r="E33" t="s">
        <v>632</v>
      </c>
      <c r="F33" t="s">
        <v>624</v>
      </c>
      <c r="G33" t="s">
        <v>625</v>
      </c>
      <c r="H33" t="s">
        <v>626</v>
      </c>
      <c r="I33" t="s">
        <v>36</v>
      </c>
      <c r="J33">
        <v>13149.3</v>
      </c>
      <c r="K33">
        <v>3</v>
      </c>
      <c r="L33">
        <v>1</v>
      </c>
      <c r="M33" t="s">
        <v>156</v>
      </c>
      <c r="N33">
        <v>2023</v>
      </c>
      <c r="T33">
        <v>1</v>
      </c>
      <c r="U33">
        <v>51.595444999999998</v>
      </c>
      <c r="V33">
        <v>45.986817000000002</v>
      </c>
      <c r="W33" t="s">
        <v>627</v>
      </c>
      <c r="X33">
        <v>3.8</v>
      </c>
      <c r="Y33">
        <v>3.9</v>
      </c>
      <c r="Z33" t="s">
        <v>628</v>
      </c>
      <c r="AA33" t="s">
        <v>629</v>
      </c>
      <c r="AB33" t="s">
        <v>630</v>
      </c>
      <c r="AC33" t="s">
        <v>631</v>
      </c>
      <c r="AD33" t="s">
        <v>107</v>
      </c>
      <c r="AE33" t="s">
        <v>107</v>
      </c>
      <c r="AF33" t="s">
        <v>107</v>
      </c>
      <c r="AG33" t="s">
        <v>107</v>
      </c>
      <c r="AH33" t="s">
        <v>633</v>
      </c>
      <c r="AI33" t="s">
        <v>634</v>
      </c>
      <c r="AJ33">
        <v>49.62</v>
      </c>
    </row>
    <row r="34" spans="1:36" x14ac:dyDescent="0.3">
      <c r="A34">
        <v>103</v>
      </c>
      <c r="B34" t="s">
        <v>1443</v>
      </c>
      <c r="C34">
        <v>384</v>
      </c>
      <c r="D34" t="s">
        <v>135</v>
      </c>
      <c r="E34" t="s">
        <v>133</v>
      </c>
      <c r="F34" t="s">
        <v>125</v>
      </c>
      <c r="G34" t="s">
        <v>126</v>
      </c>
      <c r="H34" t="s">
        <v>127</v>
      </c>
      <c r="I34" t="s">
        <v>36</v>
      </c>
      <c r="J34">
        <v>7344.9</v>
      </c>
      <c r="K34">
        <v>3</v>
      </c>
      <c r="L34">
        <v>1</v>
      </c>
      <c r="N34">
        <v>1986</v>
      </c>
      <c r="T34">
        <v>1</v>
      </c>
      <c r="U34">
        <v>51.491326999999998</v>
      </c>
      <c r="V34">
        <v>45.924787999999999</v>
      </c>
      <c r="W34" t="s">
        <v>128</v>
      </c>
      <c r="X34">
        <v>4.0999999999999996</v>
      </c>
      <c r="Y34">
        <v>4.0999999999999996</v>
      </c>
      <c r="Z34" t="s">
        <v>129</v>
      </c>
      <c r="AA34" t="s">
        <v>130</v>
      </c>
      <c r="AB34" t="s">
        <v>131</v>
      </c>
      <c r="AC34" t="s">
        <v>132</v>
      </c>
      <c r="AD34" t="s">
        <v>134</v>
      </c>
      <c r="AE34" t="s">
        <v>135</v>
      </c>
      <c r="AF34" t="s">
        <v>122</v>
      </c>
      <c r="AG34" t="s">
        <v>136</v>
      </c>
      <c r="AH34" t="s">
        <v>137</v>
      </c>
      <c r="AI34" t="s">
        <v>138</v>
      </c>
      <c r="AJ34">
        <v>65.09</v>
      </c>
    </row>
    <row r="35" spans="1:36" x14ac:dyDescent="0.3">
      <c r="A35">
        <v>102</v>
      </c>
      <c r="B35" t="s">
        <v>1443</v>
      </c>
      <c r="C35" s="3">
        <f t="shared" ref="C35" si="12">J35/19</f>
        <v>303.26315789473682</v>
      </c>
      <c r="D35" t="s">
        <v>723</v>
      </c>
      <c r="E35" t="s">
        <v>722</v>
      </c>
      <c r="F35" t="s">
        <v>714</v>
      </c>
      <c r="G35" t="s">
        <v>715</v>
      </c>
      <c r="H35" t="s">
        <v>716</v>
      </c>
      <c r="I35" t="s">
        <v>36</v>
      </c>
      <c r="J35">
        <v>5762</v>
      </c>
      <c r="K35">
        <v>3</v>
      </c>
      <c r="L35">
        <v>1</v>
      </c>
      <c r="M35" t="s">
        <v>53</v>
      </c>
      <c r="N35">
        <v>1973</v>
      </c>
      <c r="T35">
        <v>1</v>
      </c>
      <c r="U35">
        <v>51.607030999999999</v>
      </c>
      <c r="V35">
        <v>45.984903000000003</v>
      </c>
      <c r="W35" t="s">
        <v>717</v>
      </c>
      <c r="X35">
        <v>3.4</v>
      </c>
      <c r="Y35">
        <v>4.4000000000000004</v>
      </c>
      <c r="Z35" t="s">
        <v>718</v>
      </c>
      <c r="AA35" t="s">
        <v>719</v>
      </c>
      <c r="AB35" t="s">
        <v>720</v>
      </c>
      <c r="AC35" t="s">
        <v>721</v>
      </c>
      <c r="AD35" t="s">
        <v>107</v>
      </c>
      <c r="AE35" t="s">
        <v>723</v>
      </c>
      <c r="AF35" t="s">
        <v>724</v>
      </c>
      <c r="AG35" t="s">
        <v>107</v>
      </c>
      <c r="AH35" t="s">
        <v>107</v>
      </c>
      <c r="AI35" t="s">
        <v>107</v>
      </c>
      <c r="AJ35">
        <v>48.06</v>
      </c>
    </row>
    <row r="36" spans="1:36" x14ac:dyDescent="0.3">
      <c r="A36">
        <v>101</v>
      </c>
      <c r="B36" t="s">
        <v>1484</v>
      </c>
      <c r="C36">
        <v>398</v>
      </c>
      <c r="D36" t="s">
        <v>958</v>
      </c>
      <c r="E36" t="s">
        <v>957</v>
      </c>
      <c r="F36" t="s">
        <v>949</v>
      </c>
      <c r="G36" t="s">
        <v>950</v>
      </c>
      <c r="H36" t="s">
        <v>951</v>
      </c>
      <c r="I36" t="s">
        <v>36</v>
      </c>
      <c r="J36">
        <v>476.4</v>
      </c>
      <c r="K36">
        <v>2</v>
      </c>
      <c r="M36" t="s">
        <v>53</v>
      </c>
      <c r="N36">
        <v>1917</v>
      </c>
      <c r="U36">
        <v>51.536206999999997</v>
      </c>
      <c r="V36">
        <v>46.035989999999998</v>
      </c>
      <c r="W36" t="s">
        <v>952</v>
      </c>
      <c r="X36">
        <v>5</v>
      </c>
      <c r="Y36">
        <v>4.3</v>
      </c>
      <c r="Z36" t="s">
        <v>953</v>
      </c>
      <c r="AA36" t="s">
        <v>954</v>
      </c>
      <c r="AB36" t="s">
        <v>955</v>
      </c>
      <c r="AC36" t="s">
        <v>956</v>
      </c>
      <c r="AD36" t="s">
        <v>107</v>
      </c>
      <c r="AE36" t="s">
        <v>958</v>
      </c>
      <c r="AF36" t="s">
        <v>536</v>
      </c>
      <c r="AG36" t="s">
        <v>959</v>
      </c>
      <c r="AH36" t="s">
        <v>960</v>
      </c>
      <c r="AI36" t="s">
        <v>95</v>
      </c>
      <c r="AJ36">
        <v>42.81</v>
      </c>
    </row>
    <row r="37" spans="1:36" x14ac:dyDescent="0.3">
      <c r="A37">
        <v>100</v>
      </c>
      <c r="B37" t="s">
        <v>1443</v>
      </c>
      <c r="C37" s="3">
        <f t="shared" ref="C37" si="13">J37/19</f>
        <v>232.29473684210529</v>
      </c>
      <c r="D37" t="s">
        <v>107</v>
      </c>
      <c r="E37" t="s">
        <v>107</v>
      </c>
      <c r="F37" t="s">
        <v>1021</v>
      </c>
      <c r="G37" t="s">
        <v>1022</v>
      </c>
      <c r="H37" t="s">
        <v>1023</v>
      </c>
      <c r="I37" t="s">
        <v>36</v>
      </c>
      <c r="J37">
        <v>4413.6000000000004</v>
      </c>
      <c r="K37">
        <v>3</v>
      </c>
      <c r="M37" t="s">
        <v>53</v>
      </c>
      <c r="N37">
        <v>2010</v>
      </c>
      <c r="S37">
        <v>1</v>
      </c>
      <c r="T37">
        <v>1</v>
      </c>
      <c r="U37">
        <v>51.586385999999997</v>
      </c>
      <c r="V37">
        <v>45.934849</v>
      </c>
      <c r="W37" t="s">
        <v>1024</v>
      </c>
      <c r="Y37">
        <v>4.5999999999999996</v>
      </c>
      <c r="Z37" t="s">
        <v>1025</v>
      </c>
      <c r="AA37" t="s">
        <v>1026</v>
      </c>
      <c r="AD37" t="s">
        <v>107</v>
      </c>
      <c r="AE37" t="s">
        <v>107</v>
      </c>
      <c r="AF37" t="s">
        <v>107</v>
      </c>
      <c r="AG37" t="s">
        <v>107</v>
      </c>
      <c r="AH37" t="s">
        <v>107</v>
      </c>
      <c r="AI37" t="s">
        <v>107</v>
      </c>
      <c r="AJ37">
        <v>40.94</v>
      </c>
    </row>
    <row r="38" spans="1:36" x14ac:dyDescent="0.3">
      <c r="A38">
        <v>98</v>
      </c>
      <c r="B38" t="s">
        <v>1443</v>
      </c>
      <c r="C38" s="3">
        <f t="shared" ref="C38" si="14">J38/19</f>
        <v>88.589473684210532</v>
      </c>
      <c r="D38" t="s">
        <v>107</v>
      </c>
      <c r="E38" t="s">
        <v>107</v>
      </c>
      <c r="F38" t="s">
        <v>1319</v>
      </c>
      <c r="G38" t="s">
        <v>1320</v>
      </c>
      <c r="H38" t="s">
        <v>1321</v>
      </c>
      <c r="I38" t="s">
        <v>36</v>
      </c>
      <c r="J38">
        <v>1683.2</v>
      </c>
      <c r="K38">
        <v>3</v>
      </c>
      <c r="L38">
        <v>1</v>
      </c>
      <c r="M38" t="s">
        <v>53</v>
      </c>
      <c r="N38">
        <v>1975</v>
      </c>
      <c r="U38">
        <v>51.569991999999999</v>
      </c>
      <c r="V38">
        <v>46.002141999999999</v>
      </c>
      <c r="W38" t="s">
        <v>1322</v>
      </c>
      <c r="X38">
        <v>5</v>
      </c>
      <c r="Y38">
        <v>4.3</v>
      </c>
      <c r="Z38" t="s">
        <v>1323</v>
      </c>
      <c r="AA38" t="s">
        <v>1324</v>
      </c>
      <c r="AB38" t="s">
        <v>1325</v>
      </c>
      <c r="AC38" t="s">
        <v>1326</v>
      </c>
      <c r="AD38" t="s">
        <v>107</v>
      </c>
      <c r="AE38" t="s">
        <v>107</v>
      </c>
      <c r="AF38" t="s">
        <v>107</v>
      </c>
      <c r="AG38" t="s">
        <v>107</v>
      </c>
      <c r="AH38" t="s">
        <v>107</v>
      </c>
      <c r="AI38" t="s">
        <v>107</v>
      </c>
      <c r="AJ38">
        <v>32.520000000000003</v>
      </c>
    </row>
    <row r="39" spans="1:36" x14ac:dyDescent="0.3">
      <c r="A39">
        <v>97</v>
      </c>
      <c r="B39" t="s">
        <v>1443</v>
      </c>
      <c r="C39" s="3">
        <f t="shared" ref="C39" si="15">J39/19</f>
        <v>71.194736842105272</v>
      </c>
      <c r="D39" t="s">
        <v>107</v>
      </c>
      <c r="E39" t="s">
        <v>1198</v>
      </c>
      <c r="F39" t="s">
        <v>1191</v>
      </c>
      <c r="G39" t="s">
        <v>355</v>
      </c>
      <c r="H39" t="s">
        <v>1192</v>
      </c>
      <c r="I39" t="s">
        <v>36</v>
      </c>
      <c r="J39">
        <v>1352.7</v>
      </c>
      <c r="K39">
        <v>2</v>
      </c>
      <c r="M39" t="s">
        <v>53</v>
      </c>
      <c r="N39">
        <v>1937</v>
      </c>
      <c r="T39">
        <v>1</v>
      </c>
      <c r="U39">
        <v>51.512479999999996</v>
      </c>
      <c r="V39">
        <v>45.959544000000001</v>
      </c>
      <c r="W39" t="s">
        <v>1193</v>
      </c>
      <c r="X39">
        <v>4.5</v>
      </c>
      <c r="Y39">
        <v>3.4</v>
      </c>
      <c r="Z39" t="s">
        <v>1194</v>
      </c>
      <c r="AA39" t="s">
        <v>1195</v>
      </c>
      <c r="AB39" t="s">
        <v>1196</v>
      </c>
      <c r="AC39" t="s">
        <v>1197</v>
      </c>
      <c r="AD39" t="s">
        <v>107</v>
      </c>
      <c r="AE39" t="s">
        <v>107</v>
      </c>
      <c r="AF39" t="s">
        <v>107</v>
      </c>
      <c r="AG39" t="s">
        <v>107</v>
      </c>
      <c r="AH39" t="s">
        <v>1199</v>
      </c>
      <c r="AI39" t="s">
        <v>49</v>
      </c>
      <c r="AJ39">
        <v>35.869999999999997</v>
      </c>
    </row>
    <row r="40" spans="1:36" x14ac:dyDescent="0.3">
      <c r="A40">
        <v>96</v>
      </c>
      <c r="B40" t="s">
        <v>1452</v>
      </c>
      <c r="C40">
        <v>1212</v>
      </c>
      <c r="D40" t="s">
        <v>299</v>
      </c>
      <c r="E40" t="s">
        <v>297</v>
      </c>
      <c r="F40" t="s">
        <v>289</v>
      </c>
      <c r="G40" t="s">
        <v>290</v>
      </c>
      <c r="H40" t="s">
        <v>291</v>
      </c>
      <c r="I40" t="s">
        <v>36</v>
      </c>
      <c r="J40">
        <v>8807.5</v>
      </c>
      <c r="K40">
        <v>3</v>
      </c>
      <c r="M40" t="s">
        <v>53</v>
      </c>
      <c r="N40">
        <v>2002</v>
      </c>
      <c r="T40">
        <v>1</v>
      </c>
      <c r="U40">
        <v>51.573484999999998</v>
      </c>
      <c r="V40">
        <v>46.066246</v>
      </c>
      <c r="W40" t="s">
        <v>292</v>
      </c>
      <c r="X40">
        <v>4</v>
      </c>
      <c r="Y40">
        <v>4.2</v>
      </c>
      <c r="Z40" t="s">
        <v>293</v>
      </c>
      <c r="AA40" t="s">
        <v>294</v>
      </c>
      <c r="AB40" t="s">
        <v>295</v>
      </c>
      <c r="AC40" t="s">
        <v>296</v>
      </c>
      <c r="AD40" t="s">
        <v>298</v>
      </c>
      <c r="AE40" t="s">
        <v>299</v>
      </c>
      <c r="AF40" t="s">
        <v>300</v>
      </c>
      <c r="AG40" t="s">
        <v>301</v>
      </c>
      <c r="AH40" t="s">
        <v>302</v>
      </c>
      <c r="AI40" t="s">
        <v>79</v>
      </c>
      <c r="AJ40">
        <v>57.85</v>
      </c>
    </row>
    <row r="41" spans="1:36" x14ac:dyDescent="0.3">
      <c r="A41">
        <v>95</v>
      </c>
      <c r="B41" t="s">
        <v>1443</v>
      </c>
      <c r="C41" s="3">
        <f t="shared" ref="C41" si="16">J41/19</f>
        <v>646.57894736842104</v>
      </c>
      <c r="D41" t="s">
        <v>1509</v>
      </c>
      <c r="E41" s="2" t="s">
        <v>593</v>
      </c>
      <c r="F41" t="s">
        <v>585</v>
      </c>
      <c r="G41" t="s">
        <v>586</v>
      </c>
      <c r="H41" t="s">
        <v>587</v>
      </c>
      <c r="I41" t="s">
        <v>36</v>
      </c>
      <c r="J41">
        <v>12285</v>
      </c>
      <c r="K41">
        <v>3</v>
      </c>
      <c r="L41">
        <v>1</v>
      </c>
      <c r="M41" t="s">
        <v>53</v>
      </c>
      <c r="N41">
        <v>2012</v>
      </c>
      <c r="T41">
        <v>1</v>
      </c>
      <c r="U41">
        <v>51.600228999999999</v>
      </c>
      <c r="V41">
        <v>46.002411000000002</v>
      </c>
      <c r="W41" t="s">
        <v>588</v>
      </c>
      <c r="X41">
        <v>4.5</v>
      </c>
      <c r="Y41">
        <v>4.3</v>
      </c>
      <c r="Z41" t="s">
        <v>589</v>
      </c>
      <c r="AA41" t="s">
        <v>590</v>
      </c>
      <c r="AB41" t="s">
        <v>591</v>
      </c>
      <c r="AC41" t="s">
        <v>592</v>
      </c>
      <c r="AD41" t="s">
        <v>107</v>
      </c>
      <c r="AE41" t="s">
        <v>594</v>
      </c>
      <c r="AF41" t="s">
        <v>595</v>
      </c>
      <c r="AG41" t="s">
        <v>596</v>
      </c>
      <c r="AH41" t="s">
        <v>597</v>
      </c>
      <c r="AI41" t="s">
        <v>79</v>
      </c>
      <c r="AJ41">
        <v>50.06</v>
      </c>
    </row>
    <row r="42" spans="1:36" x14ac:dyDescent="0.3">
      <c r="A42">
        <v>94</v>
      </c>
      <c r="B42" t="s">
        <v>1439</v>
      </c>
      <c r="C42">
        <v>1470</v>
      </c>
      <c r="D42" t="s">
        <v>61</v>
      </c>
      <c r="E42" t="s">
        <v>59</v>
      </c>
      <c r="F42" t="s">
        <v>50</v>
      </c>
      <c r="G42" t="s">
        <v>51</v>
      </c>
      <c r="H42" t="s">
        <v>52</v>
      </c>
      <c r="I42" t="s">
        <v>36</v>
      </c>
      <c r="J42">
        <v>8891.6</v>
      </c>
      <c r="K42">
        <v>3</v>
      </c>
      <c r="L42">
        <v>1</v>
      </c>
      <c r="M42" t="s">
        <v>53</v>
      </c>
      <c r="N42">
        <v>1990</v>
      </c>
      <c r="S42">
        <v>1</v>
      </c>
      <c r="T42">
        <v>1</v>
      </c>
      <c r="U42">
        <v>51.577672</v>
      </c>
      <c r="V42">
        <v>45.963980999999997</v>
      </c>
      <c r="W42" t="s">
        <v>54</v>
      </c>
      <c r="X42">
        <v>4.5</v>
      </c>
      <c r="Y42">
        <v>4.0999999999999996</v>
      </c>
      <c r="Z42" t="s">
        <v>55</v>
      </c>
      <c r="AA42" t="s">
        <v>56</v>
      </c>
      <c r="AB42" t="s">
        <v>57</v>
      </c>
      <c r="AC42" t="s">
        <v>58</v>
      </c>
      <c r="AD42" t="s">
        <v>60</v>
      </c>
      <c r="AE42" t="s">
        <v>61</v>
      </c>
      <c r="AF42" t="s">
        <v>62</v>
      </c>
      <c r="AG42" t="s">
        <v>63</v>
      </c>
      <c r="AH42" t="s">
        <v>64</v>
      </c>
      <c r="AI42" t="s">
        <v>49</v>
      </c>
      <c r="AJ42">
        <v>75.430000000000007</v>
      </c>
    </row>
    <row r="43" spans="1:36" x14ac:dyDescent="0.3">
      <c r="A43">
        <v>93</v>
      </c>
      <c r="B43" t="s">
        <v>1443</v>
      </c>
      <c r="C43" s="3">
        <f t="shared" ref="C43" si="17">J43/19</f>
        <v>71.094736842105263</v>
      </c>
      <c r="D43" t="s">
        <v>107</v>
      </c>
      <c r="E43" t="s">
        <v>1404</v>
      </c>
      <c r="F43" t="s">
        <v>1396</v>
      </c>
      <c r="G43" t="s">
        <v>1397</v>
      </c>
      <c r="H43" t="s">
        <v>1398</v>
      </c>
      <c r="I43" t="s">
        <v>36</v>
      </c>
      <c r="J43">
        <v>1350.8</v>
      </c>
      <c r="K43">
        <v>2</v>
      </c>
      <c r="M43" t="s">
        <v>53</v>
      </c>
      <c r="N43">
        <v>1887</v>
      </c>
      <c r="U43">
        <v>51.537826000000003</v>
      </c>
      <c r="V43">
        <v>46.031498999999997</v>
      </c>
      <c r="W43" t="s">
        <v>1399</v>
      </c>
      <c r="Y43">
        <v>4.0999999999999996</v>
      </c>
      <c r="Z43" t="s">
        <v>1400</v>
      </c>
      <c r="AA43" t="s">
        <v>1401</v>
      </c>
      <c r="AB43" t="s">
        <v>1402</v>
      </c>
      <c r="AC43" t="s">
        <v>1403</v>
      </c>
      <c r="AD43" t="s">
        <v>107</v>
      </c>
      <c r="AE43" t="s">
        <v>107</v>
      </c>
      <c r="AF43" t="s">
        <v>107</v>
      </c>
      <c r="AG43" t="s">
        <v>107</v>
      </c>
      <c r="AH43" t="s">
        <v>1405</v>
      </c>
      <c r="AI43" t="s">
        <v>95</v>
      </c>
      <c r="AJ43">
        <v>30.82</v>
      </c>
    </row>
    <row r="44" spans="1:36" x14ac:dyDescent="0.3">
      <c r="A44">
        <v>92</v>
      </c>
      <c r="B44" t="s">
        <v>1443</v>
      </c>
      <c r="C44" s="3">
        <f t="shared" ref="C44" si="18">J44/19</f>
        <v>799.88947368421054</v>
      </c>
      <c r="D44" t="s">
        <v>107</v>
      </c>
      <c r="E44" t="s">
        <v>415</v>
      </c>
      <c r="F44" t="s">
        <v>407</v>
      </c>
      <c r="G44" t="s">
        <v>408</v>
      </c>
      <c r="H44" t="s">
        <v>409</v>
      </c>
      <c r="I44" t="s">
        <v>83</v>
      </c>
      <c r="J44">
        <v>15197.9</v>
      </c>
      <c r="K44">
        <v>3</v>
      </c>
      <c r="L44">
        <v>1</v>
      </c>
      <c r="M44" t="s">
        <v>53</v>
      </c>
      <c r="N44">
        <v>1949</v>
      </c>
      <c r="O44">
        <v>2018</v>
      </c>
      <c r="Q44">
        <v>1</v>
      </c>
      <c r="R44">
        <v>1</v>
      </c>
      <c r="T44">
        <v>1</v>
      </c>
      <c r="U44">
        <v>51.609169999999999</v>
      </c>
      <c r="V44">
        <v>45.912039999999998</v>
      </c>
      <c r="W44" t="s">
        <v>410</v>
      </c>
      <c r="X44">
        <v>4.5</v>
      </c>
      <c r="Y44">
        <v>4.4000000000000004</v>
      </c>
      <c r="Z44" t="s">
        <v>411</v>
      </c>
      <c r="AA44" t="s">
        <v>412</v>
      </c>
      <c r="AB44" t="s">
        <v>413</v>
      </c>
      <c r="AC44" t="s">
        <v>414</v>
      </c>
      <c r="AD44" t="s">
        <v>107</v>
      </c>
      <c r="AE44" t="s">
        <v>107</v>
      </c>
      <c r="AF44" t="s">
        <v>189</v>
      </c>
      <c r="AG44" t="s">
        <v>416</v>
      </c>
      <c r="AH44" t="s">
        <v>107</v>
      </c>
      <c r="AI44" t="s">
        <v>107</v>
      </c>
      <c r="AJ44">
        <v>54.89</v>
      </c>
    </row>
    <row r="45" spans="1:36" x14ac:dyDescent="0.3">
      <c r="A45">
        <v>91</v>
      </c>
      <c r="B45" t="s">
        <v>1501</v>
      </c>
      <c r="C45">
        <v>87</v>
      </c>
      <c r="D45" t="s">
        <v>107</v>
      </c>
      <c r="E45" t="s">
        <v>1363</v>
      </c>
      <c r="F45" t="s">
        <v>1355</v>
      </c>
      <c r="G45" t="s">
        <v>1356</v>
      </c>
      <c r="H45" t="s">
        <v>1357</v>
      </c>
      <c r="I45" t="s">
        <v>36</v>
      </c>
      <c r="J45">
        <v>3022.1</v>
      </c>
      <c r="K45">
        <v>3</v>
      </c>
      <c r="L45">
        <v>1</v>
      </c>
      <c r="M45" t="s">
        <v>53</v>
      </c>
      <c r="N45">
        <v>1914</v>
      </c>
      <c r="T45">
        <v>1</v>
      </c>
      <c r="U45">
        <v>51.535623999999999</v>
      </c>
      <c r="V45">
        <v>46.058044000000002</v>
      </c>
      <c r="W45" t="s">
        <v>1358</v>
      </c>
      <c r="X45">
        <v>3</v>
      </c>
      <c r="Y45">
        <v>4.2</v>
      </c>
      <c r="Z45" t="s">
        <v>1359</v>
      </c>
      <c r="AA45" t="s">
        <v>1360</v>
      </c>
      <c r="AB45" t="s">
        <v>1361</v>
      </c>
      <c r="AC45" t="s">
        <v>1362</v>
      </c>
      <c r="AD45" t="s">
        <v>107</v>
      </c>
      <c r="AE45" t="s">
        <v>107</v>
      </c>
      <c r="AF45" t="s">
        <v>107</v>
      </c>
      <c r="AG45" t="s">
        <v>107</v>
      </c>
      <c r="AH45" t="s">
        <v>1364</v>
      </c>
      <c r="AI45" t="s">
        <v>1365</v>
      </c>
      <c r="AJ45">
        <v>32.07</v>
      </c>
    </row>
    <row r="46" spans="1:36" x14ac:dyDescent="0.3">
      <c r="A46">
        <v>90</v>
      </c>
      <c r="B46" t="s">
        <v>1443</v>
      </c>
      <c r="C46" s="3">
        <f t="shared" ref="C46" si="19">J46/19</f>
        <v>157.89473684210526</v>
      </c>
      <c r="D46" t="s">
        <v>773</v>
      </c>
      <c r="E46" t="s">
        <v>772</v>
      </c>
      <c r="F46" t="s">
        <v>764</v>
      </c>
      <c r="G46" t="s">
        <v>765</v>
      </c>
      <c r="H46" t="s">
        <v>766</v>
      </c>
      <c r="I46" t="s">
        <v>36</v>
      </c>
      <c r="J46">
        <v>3000</v>
      </c>
      <c r="K46">
        <v>3</v>
      </c>
      <c r="N46">
        <v>1960</v>
      </c>
      <c r="S46">
        <v>1</v>
      </c>
      <c r="T46">
        <v>1</v>
      </c>
      <c r="U46">
        <v>51.462729000000003</v>
      </c>
      <c r="V46">
        <v>45.930878</v>
      </c>
      <c r="W46" t="s">
        <v>767</v>
      </c>
      <c r="X46">
        <v>5</v>
      </c>
      <c r="Y46">
        <v>3.9</v>
      </c>
      <c r="Z46" t="s">
        <v>768</v>
      </c>
      <c r="AA46" t="s">
        <v>769</v>
      </c>
      <c r="AB46" t="s">
        <v>770</v>
      </c>
      <c r="AC46" t="s">
        <v>771</v>
      </c>
      <c r="AD46" t="s">
        <v>148</v>
      </c>
      <c r="AE46" t="s">
        <v>773</v>
      </c>
      <c r="AF46" t="s">
        <v>774</v>
      </c>
      <c r="AG46" t="s">
        <v>775</v>
      </c>
      <c r="AH46" t="s">
        <v>776</v>
      </c>
      <c r="AI46" t="s">
        <v>79</v>
      </c>
      <c r="AJ46">
        <v>46.7</v>
      </c>
    </row>
    <row r="47" spans="1:36" x14ac:dyDescent="0.3">
      <c r="A47">
        <v>89</v>
      </c>
      <c r="B47" t="s">
        <v>1443</v>
      </c>
      <c r="C47" s="3">
        <f t="shared" ref="C47" si="20">J47/19</f>
        <v>205.41578947368421</v>
      </c>
      <c r="D47" t="s">
        <v>107</v>
      </c>
      <c r="E47" t="s">
        <v>1208</v>
      </c>
      <c r="F47" t="s">
        <v>1200</v>
      </c>
      <c r="G47" t="s">
        <v>1201</v>
      </c>
      <c r="H47" t="s">
        <v>1202</v>
      </c>
      <c r="I47" t="s">
        <v>36</v>
      </c>
      <c r="J47">
        <v>3902.9</v>
      </c>
      <c r="K47">
        <v>3</v>
      </c>
      <c r="M47" t="s">
        <v>53</v>
      </c>
      <c r="N47">
        <v>1967</v>
      </c>
      <c r="T47">
        <v>1</v>
      </c>
      <c r="U47">
        <v>51.595618999999999</v>
      </c>
      <c r="V47">
        <v>45.959938999999999</v>
      </c>
      <c r="W47" t="s">
        <v>1203</v>
      </c>
      <c r="X47">
        <v>5</v>
      </c>
      <c r="Y47">
        <v>3.9</v>
      </c>
      <c r="Z47" t="s">
        <v>1204</v>
      </c>
      <c r="AA47" t="s">
        <v>1205</v>
      </c>
      <c r="AB47" t="s">
        <v>1206</v>
      </c>
      <c r="AC47" t="s">
        <v>1207</v>
      </c>
      <c r="AD47" t="s">
        <v>107</v>
      </c>
      <c r="AE47" t="s">
        <v>107</v>
      </c>
      <c r="AF47" t="s">
        <v>107</v>
      </c>
      <c r="AG47" t="s">
        <v>107</v>
      </c>
      <c r="AH47" t="s">
        <v>1209</v>
      </c>
      <c r="AI47" t="s">
        <v>107</v>
      </c>
      <c r="AJ47">
        <v>35.270000000000003</v>
      </c>
    </row>
    <row r="48" spans="1:36" x14ac:dyDescent="0.3">
      <c r="A48">
        <v>88</v>
      </c>
      <c r="B48" t="s">
        <v>1505</v>
      </c>
      <c r="C48">
        <v>140</v>
      </c>
      <c r="D48" t="s">
        <v>107</v>
      </c>
      <c r="E48" t="s">
        <v>1208</v>
      </c>
      <c r="F48" t="s">
        <v>1414</v>
      </c>
      <c r="G48" t="s">
        <v>1415</v>
      </c>
      <c r="H48" t="s">
        <v>1416</v>
      </c>
      <c r="I48" t="s">
        <v>36</v>
      </c>
      <c r="J48">
        <v>4245.3</v>
      </c>
      <c r="K48">
        <v>3</v>
      </c>
      <c r="M48" t="s">
        <v>53</v>
      </c>
      <c r="N48">
        <v>1882</v>
      </c>
      <c r="U48">
        <v>51.523913</v>
      </c>
      <c r="V48">
        <v>46.034122000000004</v>
      </c>
      <c r="W48" t="s">
        <v>1417</v>
      </c>
      <c r="Y48">
        <v>4.5</v>
      </c>
      <c r="Z48" t="s">
        <v>1418</v>
      </c>
      <c r="AA48" t="s">
        <v>1419</v>
      </c>
      <c r="AB48" t="s">
        <v>1420</v>
      </c>
      <c r="AC48" t="s">
        <v>1421</v>
      </c>
      <c r="AD48" t="s">
        <v>107</v>
      </c>
      <c r="AE48" t="s">
        <v>107</v>
      </c>
      <c r="AF48" t="s">
        <v>107</v>
      </c>
      <c r="AG48" t="s">
        <v>107</v>
      </c>
      <c r="AH48" t="s">
        <v>1209</v>
      </c>
      <c r="AI48" t="s">
        <v>107</v>
      </c>
      <c r="AJ48">
        <v>28.12</v>
      </c>
    </row>
    <row r="49" spans="1:36" x14ac:dyDescent="0.3">
      <c r="A49">
        <v>87</v>
      </c>
      <c r="B49" t="s">
        <v>1495</v>
      </c>
      <c r="C49">
        <v>609</v>
      </c>
      <c r="D49" t="s">
        <v>107</v>
      </c>
      <c r="E49" t="s">
        <v>1253</v>
      </c>
      <c r="F49" t="s">
        <v>1245</v>
      </c>
      <c r="G49" t="s">
        <v>1246</v>
      </c>
      <c r="H49" t="s">
        <v>1247</v>
      </c>
      <c r="I49" t="s">
        <v>36</v>
      </c>
      <c r="J49">
        <v>5052.7</v>
      </c>
      <c r="K49">
        <v>3</v>
      </c>
      <c r="L49">
        <v>1</v>
      </c>
      <c r="M49" t="s">
        <v>53</v>
      </c>
      <c r="N49">
        <v>1954</v>
      </c>
      <c r="T49">
        <v>1</v>
      </c>
      <c r="U49">
        <v>51.489902000000001</v>
      </c>
      <c r="V49">
        <v>45.928749000000003</v>
      </c>
      <c r="W49" t="s">
        <v>1248</v>
      </c>
      <c r="X49">
        <v>2.7</v>
      </c>
      <c r="Y49">
        <v>4</v>
      </c>
      <c r="Z49" t="s">
        <v>1249</v>
      </c>
      <c r="AA49" t="s">
        <v>1250</v>
      </c>
      <c r="AB49" t="s">
        <v>1251</v>
      </c>
      <c r="AC49" t="s">
        <v>1252</v>
      </c>
      <c r="AD49" t="s">
        <v>107</v>
      </c>
      <c r="AE49" t="s">
        <v>107</v>
      </c>
      <c r="AF49" t="s">
        <v>107</v>
      </c>
      <c r="AG49" t="s">
        <v>107</v>
      </c>
      <c r="AH49" t="s">
        <v>1254</v>
      </c>
      <c r="AI49" t="s">
        <v>138</v>
      </c>
      <c r="AJ49">
        <v>34.89</v>
      </c>
    </row>
    <row r="50" spans="1:36" x14ac:dyDescent="0.3">
      <c r="A50">
        <v>85</v>
      </c>
      <c r="B50" t="s">
        <v>1443</v>
      </c>
      <c r="C50" s="3">
        <f t="shared" ref="C50" si="21">J50/19</f>
        <v>98.8</v>
      </c>
      <c r="D50" t="s">
        <v>107</v>
      </c>
      <c r="E50" t="s">
        <v>1353</v>
      </c>
      <c r="F50" t="s">
        <v>1345</v>
      </c>
      <c r="G50" t="s">
        <v>1346</v>
      </c>
      <c r="H50" t="s">
        <v>1347</v>
      </c>
      <c r="I50" t="s">
        <v>36</v>
      </c>
      <c r="J50">
        <v>1877.2</v>
      </c>
      <c r="K50">
        <v>3</v>
      </c>
      <c r="L50">
        <v>1</v>
      </c>
      <c r="N50">
        <v>1951</v>
      </c>
      <c r="Q50">
        <v>1</v>
      </c>
      <c r="T50">
        <v>1</v>
      </c>
      <c r="U50">
        <v>51.477618999999997</v>
      </c>
      <c r="V50">
        <v>45.924104999999997</v>
      </c>
      <c r="W50" t="s">
        <v>1348</v>
      </c>
      <c r="X50">
        <v>2.2999999999999998</v>
      </c>
      <c r="Y50">
        <v>3.7</v>
      </c>
      <c r="Z50" t="s">
        <v>1349</v>
      </c>
      <c r="AA50" t="s">
        <v>1350</v>
      </c>
      <c r="AB50" t="s">
        <v>1351</v>
      </c>
      <c r="AC50" t="s">
        <v>1352</v>
      </c>
      <c r="AD50" t="s">
        <v>107</v>
      </c>
      <c r="AE50" t="s">
        <v>107</v>
      </c>
      <c r="AF50" t="s">
        <v>107</v>
      </c>
      <c r="AG50" t="s">
        <v>107</v>
      </c>
      <c r="AH50" t="s">
        <v>1354</v>
      </c>
      <c r="AI50" t="s">
        <v>107</v>
      </c>
      <c r="AJ50">
        <v>32.1</v>
      </c>
    </row>
    <row r="51" spans="1:36" x14ac:dyDescent="0.3">
      <c r="A51">
        <v>84</v>
      </c>
      <c r="B51" t="s">
        <v>1475</v>
      </c>
      <c r="C51">
        <v>900</v>
      </c>
      <c r="D51" t="s">
        <v>107</v>
      </c>
      <c r="E51" t="s">
        <v>797</v>
      </c>
      <c r="F51" t="s">
        <v>788</v>
      </c>
      <c r="G51" t="s">
        <v>789</v>
      </c>
      <c r="H51" t="s">
        <v>790</v>
      </c>
      <c r="I51" t="s">
        <v>791</v>
      </c>
      <c r="J51">
        <v>2000</v>
      </c>
      <c r="K51">
        <v>3</v>
      </c>
      <c r="L51">
        <v>1</v>
      </c>
      <c r="M51" t="s">
        <v>53</v>
      </c>
      <c r="N51">
        <v>1882</v>
      </c>
      <c r="U51">
        <v>51.534033000000001</v>
      </c>
      <c r="V51">
        <v>46.037768999999997</v>
      </c>
      <c r="W51" t="s">
        <v>792</v>
      </c>
      <c r="X51">
        <v>3.7</v>
      </c>
      <c r="Y51">
        <v>4.0999999999999996</v>
      </c>
      <c r="Z51" t="s">
        <v>793</v>
      </c>
      <c r="AA51" t="s">
        <v>794</v>
      </c>
      <c r="AB51" t="s">
        <v>795</v>
      </c>
      <c r="AC51" t="s">
        <v>796</v>
      </c>
      <c r="AD51" t="s">
        <v>798</v>
      </c>
      <c r="AE51" t="s">
        <v>107</v>
      </c>
      <c r="AF51" t="s">
        <v>799</v>
      </c>
      <c r="AG51" t="s">
        <v>800</v>
      </c>
      <c r="AH51" t="s">
        <v>107</v>
      </c>
      <c r="AI51" t="s">
        <v>107</v>
      </c>
      <c r="AJ51">
        <v>46.58</v>
      </c>
    </row>
    <row r="52" spans="1:36" x14ac:dyDescent="0.3">
      <c r="A52">
        <v>83</v>
      </c>
      <c r="B52" t="s">
        <v>1476</v>
      </c>
      <c r="C52">
        <v>1037</v>
      </c>
      <c r="D52" t="s">
        <v>107</v>
      </c>
      <c r="E52" t="s">
        <v>808</v>
      </c>
      <c r="F52" t="s">
        <v>801</v>
      </c>
      <c r="G52" t="s">
        <v>801</v>
      </c>
      <c r="H52" t="s">
        <v>802</v>
      </c>
      <c r="I52" t="s">
        <v>36</v>
      </c>
      <c r="J52">
        <v>6344.5</v>
      </c>
      <c r="K52">
        <v>3</v>
      </c>
      <c r="L52">
        <v>1</v>
      </c>
      <c r="M52" t="s">
        <v>53</v>
      </c>
      <c r="N52">
        <v>1973</v>
      </c>
      <c r="U52">
        <v>51.529634999999999</v>
      </c>
      <c r="V52">
        <v>46.020251999999999</v>
      </c>
      <c r="W52" t="s">
        <v>803</v>
      </c>
      <c r="X52">
        <v>4.0999999999999996</v>
      </c>
      <c r="Y52">
        <v>4.0999999999999996</v>
      </c>
      <c r="Z52" t="s">
        <v>804</v>
      </c>
      <c r="AA52" t="s">
        <v>805</v>
      </c>
      <c r="AB52" t="s">
        <v>806</v>
      </c>
      <c r="AC52" t="s">
        <v>807</v>
      </c>
      <c r="AD52" t="s">
        <v>809</v>
      </c>
      <c r="AE52" t="s">
        <v>107</v>
      </c>
      <c r="AF52" t="s">
        <v>810</v>
      </c>
      <c r="AG52" t="s">
        <v>811</v>
      </c>
      <c r="AH52" t="s">
        <v>812</v>
      </c>
      <c r="AI52" t="s">
        <v>107</v>
      </c>
      <c r="AJ52">
        <v>46.39</v>
      </c>
    </row>
    <row r="53" spans="1:36" x14ac:dyDescent="0.3">
      <c r="A53">
        <v>82</v>
      </c>
      <c r="B53" t="s">
        <v>1443</v>
      </c>
      <c r="C53" s="3">
        <f t="shared" ref="C53" si="22">J53/19</f>
        <v>164.98947368421054</v>
      </c>
      <c r="D53" t="s">
        <v>107</v>
      </c>
      <c r="E53" t="s">
        <v>1076</v>
      </c>
      <c r="F53" t="s">
        <v>801</v>
      </c>
      <c r="G53" t="s">
        <v>1069</v>
      </c>
      <c r="H53" t="s">
        <v>1070</v>
      </c>
      <c r="I53" t="s">
        <v>36</v>
      </c>
      <c r="J53">
        <v>3134.8</v>
      </c>
      <c r="K53">
        <v>3</v>
      </c>
      <c r="L53">
        <v>1</v>
      </c>
      <c r="M53" t="s">
        <v>53</v>
      </c>
      <c r="N53">
        <v>1913</v>
      </c>
      <c r="O53">
        <v>2019</v>
      </c>
      <c r="Q53">
        <v>1</v>
      </c>
      <c r="T53">
        <v>1</v>
      </c>
      <c r="U53">
        <v>51.543562000000001</v>
      </c>
      <c r="V53">
        <v>46.019641</v>
      </c>
      <c r="W53" t="s">
        <v>1071</v>
      </c>
      <c r="X53">
        <v>3.7</v>
      </c>
      <c r="Y53">
        <v>4.2</v>
      </c>
      <c r="Z53" t="s">
        <v>1072</v>
      </c>
      <c r="AA53" t="s">
        <v>1073</v>
      </c>
      <c r="AB53" t="s">
        <v>1074</v>
      </c>
      <c r="AC53" t="s">
        <v>1075</v>
      </c>
      <c r="AD53" t="s">
        <v>107</v>
      </c>
      <c r="AE53" t="s">
        <v>107</v>
      </c>
      <c r="AF53" t="s">
        <v>107</v>
      </c>
      <c r="AG53" t="s">
        <v>107</v>
      </c>
      <c r="AH53" t="s">
        <v>107</v>
      </c>
      <c r="AI53" t="s">
        <v>107</v>
      </c>
      <c r="AJ53">
        <v>39.14</v>
      </c>
    </row>
    <row r="54" spans="1:36" x14ac:dyDescent="0.3">
      <c r="A54">
        <v>81</v>
      </c>
      <c r="B54" t="s">
        <v>1489</v>
      </c>
      <c r="C54">
        <v>2369</v>
      </c>
      <c r="D54" t="s">
        <v>107</v>
      </c>
      <c r="E54" t="s">
        <v>1085</v>
      </c>
      <c r="F54" t="s">
        <v>1077</v>
      </c>
      <c r="G54" t="s">
        <v>1078</v>
      </c>
      <c r="H54" t="s">
        <v>1079</v>
      </c>
      <c r="I54" t="s">
        <v>36</v>
      </c>
      <c r="J54">
        <v>2973</v>
      </c>
      <c r="K54">
        <v>3</v>
      </c>
      <c r="N54">
        <v>1963</v>
      </c>
      <c r="T54">
        <v>1</v>
      </c>
      <c r="U54">
        <v>51.497798000000003</v>
      </c>
      <c r="V54">
        <v>45.934364000000002</v>
      </c>
      <c r="W54" t="s">
        <v>1080</v>
      </c>
      <c r="X54">
        <v>4.3</v>
      </c>
      <c r="Y54">
        <v>4.2</v>
      </c>
      <c r="Z54" t="s">
        <v>1081</v>
      </c>
      <c r="AA54" t="s">
        <v>1082</v>
      </c>
      <c r="AB54" t="s">
        <v>1083</v>
      </c>
      <c r="AC54" t="s">
        <v>1084</v>
      </c>
      <c r="AD54" t="s">
        <v>107</v>
      </c>
      <c r="AE54" t="s">
        <v>107</v>
      </c>
      <c r="AF54" t="s">
        <v>1086</v>
      </c>
      <c r="AG54" t="s">
        <v>1087</v>
      </c>
      <c r="AH54" t="s">
        <v>1088</v>
      </c>
      <c r="AI54" t="s">
        <v>49</v>
      </c>
      <c r="AJ54">
        <v>39.04</v>
      </c>
    </row>
    <row r="55" spans="1:36" x14ac:dyDescent="0.3">
      <c r="A55">
        <v>79</v>
      </c>
      <c r="B55" t="s">
        <v>1440</v>
      </c>
      <c r="C55">
        <v>873</v>
      </c>
      <c r="D55" t="s">
        <v>75</v>
      </c>
      <c r="E55" t="s">
        <v>73</v>
      </c>
      <c r="F55" t="s">
        <v>65</v>
      </c>
      <c r="G55" t="s">
        <v>66</v>
      </c>
      <c r="H55" t="s">
        <v>67</v>
      </c>
      <c r="I55" t="s">
        <v>36</v>
      </c>
      <c r="J55">
        <v>3523.5</v>
      </c>
      <c r="K55">
        <v>3</v>
      </c>
      <c r="L55">
        <v>1</v>
      </c>
      <c r="M55" t="s">
        <v>53</v>
      </c>
      <c r="N55">
        <v>1955</v>
      </c>
      <c r="S55">
        <v>1</v>
      </c>
      <c r="T55">
        <v>1</v>
      </c>
      <c r="U55">
        <v>51.531404999999999</v>
      </c>
      <c r="V55">
        <v>46.015599000000002</v>
      </c>
      <c r="W55" t="s">
        <v>68</v>
      </c>
      <c r="X55">
        <v>3.5</v>
      </c>
      <c r="Y55">
        <v>4.0999999999999996</v>
      </c>
      <c r="Z55" t="s">
        <v>69</v>
      </c>
      <c r="AA55" t="s">
        <v>70</v>
      </c>
      <c r="AB55" t="s">
        <v>71</v>
      </c>
      <c r="AC55" t="s">
        <v>72</v>
      </c>
      <c r="AD55" t="s">
        <v>74</v>
      </c>
      <c r="AE55" t="s">
        <v>75</v>
      </c>
      <c r="AF55" t="s">
        <v>76</v>
      </c>
      <c r="AG55" t="s">
        <v>77</v>
      </c>
      <c r="AH55" t="s">
        <v>78</v>
      </c>
      <c r="AI55" t="s">
        <v>79</v>
      </c>
      <c r="AJ55">
        <v>73.38</v>
      </c>
    </row>
    <row r="56" spans="1:36" x14ac:dyDescent="0.3">
      <c r="A56">
        <v>78</v>
      </c>
      <c r="B56" t="s">
        <v>1443</v>
      </c>
      <c r="C56" s="3">
        <f t="shared" ref="C56" si="23">J56/19</f>
        <v>269.63157894736844</v>
      </c>
      <c r="D56" t="s">
        <v>751</v>
      </c>
      <c r="E56" t="s">
        <v>749</v>
      </c>
      <c r="F56" t="s">
        <v>741</v>
      </c>
      <c r="G56" t="s">
        <v>742</v>
      </c>
      <c r="H56" t="s">
        <v>743</v>
      </c>
      <c r="I56" t="s">
        <v>83</v>
      </c>
      <c r="J56">
        <v>5123</v>
      </c>
      <c r="K56">
        <v>3</v>
      </c>
      <c r="L56">
        <v>1</v>
      </c>
      <c r="M56" t="s">
        <v>53</v>
      </c>
      <c r="N56">
        <v>1950</v>
      </c>
      <c r="O56">
        <v>2007</v>
      </c>
      <c r="S56">
        <v>1</v>
      </c>
      <c r="U56">
        <v>51.550736000000001</v>
      </c>
      <c r="V56">
        <v>46.011296000000002</v>
      </c>
      <c r="W56" t="s">
        <v>744</v>
      </c>
      <c r="X56">
        <v>3.5</v>
      </c>
      <c r="Y56">
        <v>4.2</v>
      </c>
      <c r="Z56" t="s">
        <v>745</v>
      </c>
      <c r="AA56" t="s">
        <v>746</v>
      </c>
      <c r="AB56" t="s">
        <v>747</v>
      </c>
      <c r="AC56" t="s">
        <v>748</v>
      </c>
      <c r="AD56" t="s">
        <v>750</v>
      </c>
      <c r="AE56" t="s">
        <v>751</v>
      </c>
      <c r="AF56" t="s">
        <v>107</v>
      </c>
      <c r="AG56" t="s">
        <v>752</v>
      </c>
      <c r="AH56" t="s">
        <v>107</v>
      </c>
      <c r="AI56" t="s">
        <v>107</v>
      </c>
      <c r="AJ56">
        <v>47.29</v>
      </c>
    </row>
    <row r="57" spans="1:36" x14ac:dyDescent="0.3">
      <c r="A57">
        <v>77</v>
      </c>
      <c r="B57" t="s">
        <v>1443</v>
      </c>
      <c r="C57">
        <v>181</v>
      </c>
      <c r="D57" t="s">
        <v>61</v>
      </c>
      <c r="E57" t="s">
        <v>187</v>
      </c>
      <c r="F57" t="s">
        <v>179</v>
      </c>
      <c r="G57" t="s">
        <v>180</v>
      </c>
      <c r="H57" t="s">
        <v>181</v>
      </c>
      <c r="I57" t="s">
        <v>36</v>
      </c>
      <c r="J57">
        <v>3451.9</v>
      </c>
      <c r="K57">
        <v>3</v>
      </c>
      <c r="L57">
        <v>1</v>
      </c>
      <c r="M57" t="s">
        <v>53</v>
      </c>
      <c r="N57">
        <v>1954</v>
      </c>
      <c r="T57">
        <v>1</v>
      </c>
      <c r="U57">
        <v>51.589810999999997</v>
      </c>
      <c r="V57">
        <v>45.963774999999998</v>
      </c>
      <c r="W57" t="s">
        <v>182</v>
      </c>
      <c r="X57">
        <v>3.4</v>
      </c>
      <c r="Y57">
        <v>4</v>
      </c>
      <c r="Z57" t="s">
        <v>183</v>
      </c>
      <c r="AA57" t="s">
        <v>184</v>
      </c>
      <c r="AB57" t="s">
        <v>185</v>
      </c>
      <c r="AC57" t="s">
        <v>186</v>
      </c>
      <c r="AD57" t="s">
        <v>188</v>
      </c>
      <c r="AE57" t="s">
        <v>61</v>
      </c>
      <c r="AF57" t="s">
        <v>189</v>
      </c>
      <c r="AG57" t="s">
        <v>190</v>
      </c>
      <c r="AH57" t="s">
        <v>191</v>
      </c>
      <c r="AI57" t="s">
        <v>49</v>
      </c>
      <c r="AJ57">
        <v>64.03</v>
      </c>
    </row>
    <row r="58" spans="1:36" x14ac:dyDescent="0.3">
      <c r="A58">
        <v>76</v>
      </c>
      <c r="B58" t="s">
        <v>1443</v>
      </c>
      <c r="C58" s="3">
        <f t="shared" ref="C58" si="24">J58/19</f>
        <v>300.93157894736839</v>
      </c>
      <c r="D58" t="s">
        <v>569</v>
      </c>
      <c r="E58" t="s">
        <v>567</v>
      </c>
      <c r="F58" t="s">
        <v>559</v>
      </c>
      <c r="G58" t="s">
        <v>560</v>
      </c>
      <c r="H58" t="s">
        <v>561</v>
      </c>
      <c r="I58" t="s">
        <v>36</v>
      </c>
      <c r="J58">
        <v>5717.7</v>
      </c>
      <c r="K58">
        <v>3</v>
      </c>
      <c r="L58">
        <v>1</v>
      </c>
      <c r="N58">
        <v>1986</v>
      </c>
      <c r="T58">
        <v>1</v>
      </c>
      <c r="U58">
        <v>51.595444999999998</v>
      </c>
      <c r="V58">
        <v>45.957189999999997</v>
      </c>
      <c r="W58" t="s">
        <v>562</v>
      </c>
      <c r="X58">
        <v>5</v>
      </c>
      <c r="Y58">
        <v>4.3</v>
      </c>
      <c r="Z58" t="s">
        <v>563</v>
      </c>
      <c r="AA58" t="s">
        <v>564</v>
      </c>
      <c r="AB58" t="s">
        <v>565</v>
      </c>
      <c r="AC58" t="s">
        <v>566</v>
      </c>
      <c r="AD58" t="s">
        <v>568</v>
      </c>
      <c r="AE58" t="s">
        <v>569</v>
      </c>
      <c r="AF58" t="s">
        <v>570</v>
      </c>
      <c r="AG58" t="s">
        <v>107</v>
      </c>
      <c r="AH58" t="s">
        <v>571</v>
      </c>
      <c r="AI58" t="s">
        <v>49</v>
      </c>
      <c r="AJ58">
        <v>50.38</v>
      </c>
    </row>
    <row r="59" spans="1:36" x14ac:dyDescent="0.3">
      <c r="A59">
        <v>75</v>
      </c>
      <c r="B59" t="s">
        <v>1453</v>
      </c>
      <c r="C59">
        <v>629</v>
      </c>
      <c r="D59" t="s">
        <v>338</v>
      </c>
      <c r="E59" t="s">
        <v>336</v>
      </c>
      <c r="F59" t="s">
        <v>328</v>
      </c>
      <c r="G59" t="s">
        <v>329</v>
      </c>
      <c r="H59" t="s">
        <v>330</v>
      </c>
      <c r="I59" t="s">
        <v>36</v>
      </c>
      <c r="J59">
        <v>2337</v>
      </c>
      <c r="K59">
        <v>3</v>
      </c>
      <c r="M59" t="s">
        <v>53</v>
      </c>
      <c r="N59">
        <v>1957</v>
      </c>
      <c r="T59">
        <v>1</v>
      </c>
      <c r="U59">
        <v>51.528015000000003</v>
      </c>
      <c r="V59">
        <v>45.959004999999998</v>
      </c>
      <c r="W59" t="s">
        <v>331</v>
      </c>
      <c r="X59">
        <v>4.5</v>
      </c>
      <c r="Y59">
        <v>4.2</v>
      </c>
      <c r="Z59" t="s">
        <v>332</v>
      </c>
      <c r="AA59" t="s">
        <v>333</v>
      </c>
      <c r="AB59" t="s">
        <v>334</v>
      </c>
      <c r="AC59" t="s">
        <v>335</v>
      </c>
      <c r="AD59" t="s">
        <v>337</v>
      </c>
      <c r="AE59" t="s">
        <v>338</v>
      </c>
      <c r="AF59" t="s">
        <v>122</v>
      </c>
      <c r="AG59" t="s">
        <v>107</v>
      </c>
      <c r="AH59" t="s">
        <v>339</v>
      </c>
      <c r="AI59" t="s">
        <v>340</v>
      </c>
      <c r="AJ59">
        <v>56.87</v>
      </c>
    </row>
    <row r="60" spans="1:36" x14ac:dyDescent="0.3">
      <c r="A60">
        <v>74</v>
      </c>
      <c r="B60" t="s">
        <v>1443</v>
      </c>
      <c r="C60" s="3">
        <f t="shared" ref="C60" si="25">J60/19</f>
        <v>223.42105263157896</v>
      </c>
      <c r="D60" t="s">
        <v>107</v>
      </c>
      <c r="E60" t="s">
        <v>514</v>
      </c>
      <c r="F60" t="s">
        <v>506</v>
      </c>
      <c r="G60" t="s">
        <v>507</v>
      </c>
      <c r="H60" t="s">
        <v>508</v>
      </c>
      <c r="I60" t="s">
        <v>36</v>
      </c>
      <c r="J60">
        <v>4245</v>
      </c>
      <c r="K60">
        <v>3</v>
      </c>
      <c r="N60">
        <v>1964</v>
      </c>
      <c r="T60">
        <v>1</v>
      </c>
      <c r="U60">
        <v>51.476447</v>
      </c>
      <c r="V60">
        <v>45.895377000000003</v>
      </c>
      <c r="W60" t="s">
        <v>509</v>
      </c>
      <c r="X60">
        <v>5</v>
      </c>
      <c r="Y60">
        <v>3.3</v>
      </c>
      <c r="Z60" t="s">
        <v>510</v>
      </c>
      <c r="AA60" t="s">
        <v>511</v>
      </c>
      <c r="AB60" t="s">
        <v>512</v>
      </c>
      <c r="AC60" t="s">
        <v>513</v>
      </c>
      <c r="AD60" t="s">
        <v>515</v>
      </c>
      <c r="AE60" t="s">
        <v>107</v>
      </c>
      <c r="AF60" t="s">
        <v>516</v>
      </c>
      <c r="AG60" t="s">
        <v>107</v>
      </c>
      <c r="AH60" t="s">
        <v>517</v>
      </c>
      <c r="AI60" t="s">
        <v>49</v>
      </c>
      <c r="AJ60">
        <v>52.03</v>
      </c>
    </row>
    <row r="61" spans="1:36" x14ac:dyDescent="0.3">
      <c r="A61">
        <v>73</v>
      </c>
      <c r="B61" t="s">
        <v>1504</v>
      </c>
      <c r="C61">
        <v>431</v>
      </c>
      <c r="D61" t="s">
        <v>107</v>
      </c>
      <c r="E61" t="s">
        <v>1394</v>
      </c>
      <c r="F61" t="s">
        <v>1386</v>
      </c>
      <c r="G61" t="s">
        <v>1387</v>
      </c>
      <c r="H61" t="s">
        <v>1388</v>
      </c>
      <c r="I61" t="s">
        <v>36</v>
      </c>
      <c r="J61">
        <v>1770.1</v>
      </c>
      <c r="K61">
        <v>2</v>
      </c>
      <c r="N61">
        <v>1954</v>
      </c>
      <c r="U61">
        <v>51.506476999999997</v>
      </c>
      <c r="V61">
        <v>45.929386999999998</v>
      </c>
      <c r="W61" t="s">
        <v>1389</v>
      </c>
      <c r="X61">
        <v>3.5</v>
      </c>
      <c r="Y61">
        <v>3.6</v>
      </c>
      <c r="Z61" t="s">
        <v>1390</v>
      </c>
      <c r="AA61" t="s">
        <v>1391</v>
      </c>
      <c r="AB61" t="s">
        <v>1392</v>
      </c>
      <c r="AC61" t="s">
        <v>1393</v>
      </c>
      <c r="AD61" t="s">
        <v>107</v>
      </c>
      <c r="AE61" t="s">
        <v>107</v>
      </c>
      <c r="AF61" t="s">
        <v>107</v>
      </c>
      <c r="AG61" t="s">
        <v>107</v>
      </c>
      <c r="AH61" t="s">
        <v>1395</v>
      </c>
      <c r="AI61" t="s">
        <v>1138</v>
      </c>
      <c r="AJ61">
        <v>31.09</v>
      </c>
    </row>
    <row r="62" spans="1:36" x14ac:dyDescent="0.3">
      <c r="A62">
        <v>72</v>
      </c>
      <c r="B62" t="s">
        <v>1443</v>
      </c>
      <c r="C62" s="3">
        <f t="shared" ref="C62" si="26">J62/19</f>
        <v>109.52105263157895</v>
      </c>
      <c r="D62" t="s">
        <v>107</v>
      </c>
      <c r="E62" t="s">
        <v>1019</v>
      </c>
      <c r="F62" t="s">
        <v>1013</v>
      </c>
      <c r="G62" t="s">
        <v>1014</v>
      </c>
      <c r="H62" t="s">
        <v>1015</v>
      </c>
      <c r="I62" t="s">
        <v>36</v>
      </c>
      <c r="J62">
        <v>2080.9</v>
      </c>
      <c r="K62">
        <v>2</v>
      </c>
      <c r="M62" t="s">
        <v>53</v>
      </c>
      <c r="N62">
        <v>1982</v>
      </c>
      <c r="T62">
        <v>1</v>
      </c>
      <c r="U62">
        <v>51.546585999999998</v>
      </c>
      <c r="V62">
        <v>46.008654999999997</v>
      </c>
      <c r="W62" t="s">
        <v>1016</v>
      </c>
      <c r="Y62">
        <v>4.8</v>
      </c>
      <c r="Z62" t="s">
        <v>1017</v>
      </c>
      <c r="AA62" t="s">
        <v>1018</v>
      </c>
      <c r="AD62" t="s">
        <v>107</v>
      </c>
      <c r="AE62" t="s">
        <v>107</v>
      </c>
      <c r="AF62" t="s">
        <v>107</v>
      </c>
      <c r="AG62" t="s">
        <v>107</v>
      </c>
      <c r="AH62" t="s">
        <v>1020</v>
      </c>
      <c r="AI62" t="s">
        <v>95</v>
      </c>
      <c r="AJ62">
        <v>41.02</v>
      </c>
    </row>
    <row r="63" spans="1:36" x14ac:dyDescent="0.3">
      <c r="A63">
        <v>71</v>
      </c>
      <c r="B63" t="s">
        <v>1487</v>
      </c>
      <c r="C63">
        <v>176</v>
      </c>
      <c r="D63" t="s">
        <v>107</v>
      </c>
      <c r="E63" t="s">
        <v>998</v>
      </c>
      <c r="F63" t="s">
        <v>990</v>
      </c>
      <c r="G63" t="s">
        <v>991</v>
      </c>
      <c r="H63" t="s">
        <v>992</v>
      </c>
      <c r="I63" t="s">
        <v>36</v>
      </c>
      <c r="J63">
        <v>2696.2</v>
      </c>
      <c r="K63">
        <v>2</v>
      </c>
      <c r="L63">
        <v>1</v>
      </c>
      <c r="M63" t="s">
        <v>53</v>
      </c>
      <c r="N63">
        <v>1993</v>
      </c>
      <c r="T63">
        <v>1</v>
      </c>
      <c r="U63">
        <v>51.570591</v>
      </c>
      <c r="V63">
        <v>46.000767000000003</v>
      </c>
      <c r="W63" t="s">
        <v>993</v>
      </c>
      <c r="X63">
        <v>5</v>
      </c>
      <c r="Y63">
        <v>4.9000000000000004</v>
      </c>
      <c r="Z63" t="s">
        <v>994</v>
      </c>
      <c r="AA63" t="s">
        <v>995</v>
      </c>
      <c r="AB63" t="s">
        <v>996</v>
      </c>
      <c r="AC63" t="s">
        <v>997</v>
      </c>
      <c r="AD63" t="s">
        <v>107</v>
      </c>
      <c r="AE63" t="s">
        <v>107</v>
      </c>
      <c r="AF63" t="s">
        <v>107</v>
      </c>
      <c r="AG63" t="s">
        <v>107</v>
      </c>
      <c r="AH63" t="s">
        <v>999</v>
      </c>
      <c r="AI63" t="s">
        <v>1000</v>
      </c>
      <c r="AJ63">
        <v>42.38</v>
      </c>
    </row>
    <row r="64" spans="1:36" x14ac:dyDescent="0.3">
      <c r="A64">
        <v>69</v>
      </c>
      <c r="B64" t="s">
        <v>1443</v>
      </c>
      <c r="C64" s="3">
        <f t="shared" ref="C64" si="27">J64/19</f>
        <v>108.50526315789473</v>
      </c>
      <c r="D64" t="s">
        <v>107</v>
      </c>
      <c r="E64" t="s">
        <v>107</v>
      </c>
      <c r="F64" t="s">
        <v>1406</v>
      </c>
      <c r="G64" t="s">
        <v>1407</v>
      </c>
      <c r="H64" t="s">
        <v>1408</v>
      </c>
      <c r="I64" t="s">
        <v>36</v>
      </c>
      <c r="J64">
        <v>2061.6</v>
      </c>
      <c r="K64">
        <v>3</v>
      </c>
      <c r="M64" t="s">
        <v>53</v>
      </c>
      <c r="N64">
        <v>1879</v>
      </c>
      <c r="T64">
        <v>1</v>
      </c>
      <c r="U64">
        <v>51.539864999999999</v>
      </c>
      <c r="V64">
        <v>46.035119000000002</v>
      </c>
      <c r="W64" t="s">
        <v>1409</v>
      </c>
      <c r="X64">
        <v>5</v>
      </c>
      <c r="Y64">
        <v>4.3</v>
      </c>
      <c r="Z64" t="s">
        <v>1410</v>
      </c>
      <c r="AA64" t="s">
        <v>1411</v>
      </c>
      <c r="AB64" t="s">
        <v>1412</v>
      </c>
      <c r="AC64" t="s">
        <v>1413</v>
      </c>
      <c r="AD64" t="s">
        <v>107</v>
      </c>
      <c r="AE64" t="s">
        <v>107</v>
      </c>
      <c r="AF64" t="s">
        <v>107</v>
      </c>
      <c r="AG64" t="s">
        <v>107</v>
      </c>
      <c r="AH64" t="s">
        <v>107</v>
      </c>
      <c r="AI64" t="s">
        <v>107</v>
      </c>
      <c r="AJ64">
        <v>29.62</v>
      </c>
    </row>
    <row r="65" spans="1:36" x14ac:dyDescent="0.3">
      <c r="A65">
        <v>68</v>
      </c>
      <c r="B65" t="s">
        <v>1483</v>
      </c>
      <c r="C65">
        <v>324</v>
      </c>
      <c r="D65" t="s">
        <v>107</v>
      </c>
      <c r="E65" t="s">
        <v>947</v>
      </c>
      <c r="F65" t="s">
        <v>939</v>
      </c>
      <c r="G65" t="s">
        <v>940</v>
      </c>
      <c r="H65" t="s">
        <v>941</v>
      </c>
      <c r="I65" t="s">
        <v>36</v>
      </c>
      <c r="J65">
        <v>3736.3</v>
      </c>
      <c r="K65">
        <v>3</v>
      </c>
      <c r="N65">
        <v>1986</v>
      </c>
      <c r="S65">
        <v>1</v>
      </c>
      <c r="U65">
        <v>51.468210999999997</v>
      </c>
      <c r="V65">
        <v>45.915176000000002</v>
      </c>
      <c r="W65" t="s">
        <v>942</v>
      </c>
      <c r="X65">
        <v>4.5</v>
      </c>
      <c r="Y65">
        <v>3.7</v>
      </c>
      <c r="Z65" t="s">
        <v>943</v>
      </c>
      <c r="AA65" t="s">
        <v>944</v>
      </c>
      <c r="AB65" t="s">
        <v>945</v>
      </c>
      <c r="AC65" t="s">
        <v>946</v>
      </c>
      <c r="AD65" t="s">
        <v>107</v>
      </c>
      <c r="AE65" t="s">
        <v>107</v>
      </c>
      <c r="AF65" t="s">
        <v>107</v>
      </c>
      <c r="AG65" t="s">
        <v>107</v>
      </c>
      <c r="AH65" t="s">
        <v>948</v>
      </c>
      <c r="AI65" t="s">
        <v>79</v>
      </c>
      <c r="AJ65">
        <v>42.92</v>
      </c>
    </row>
    <row r="66" spans="1:36" x14ac:dyDescent="0.3">
      <c r="A66">
        <v>67</v>
      </c>
      <c r="B66" t="s">
        <v>1473</v>
      </c>
      <c r="C66">
        <v>267</v>
      </c>
      <c r="D66" t="s">
        <v>762</v>
      </c>
      <c r="E66" t="s">
        <v>761</v>
      </c>
      <c r="F66" t="s">
        <v>753</v>
      </c>
      <c r="G66" t="s">
        <v>754</v>
      </c>
      <c r="H66" t="s">
        <v>755</v>
      </c>
      <c r="I66" t="s">
        <v>36</v>
      </c>
      <c r="J66">
        <v>1080.5999999999999</v>
      </c>
      <c r="K66">
        <v>3</v>
      </c>
      <c r="L66">
        <v>1</v>
      </c>
      <c r="M66" t="s">
        <v>53</v>
      </c>
      <c r="N66">
        <v>1867</v>
      </c>
      <c r="U66">
        <v>51.530912000000001</v>
      </c>
      <c r="V66">
        <v>46.043661999999998</v>
      </c>
      <c r="W66" t="s">
        <v>756</v>
      </c>
      <c r="X66">
        <v>4.2</v>
      </c>
      <c r="Y66">
        <v>4.5</v>
      </c>
      <c r="Z66" t="s">
        <v>757</v>
      </c>
      <c r="AA66" t="s">
        <v>758</v>
      </c>
      <c r="AB66" t="s">
        <v>759</v>
      </c>
      <c r="AC66" t="s">
        <v>760</v>
      </c>
      <c r="AD66" t="s">
        <v>337</v>
      </c>
      <c r="AE66" t="s">
        <v>762</v>
      </c>
      <c r="AF66" t="s">
        <v>122</v>
      </c>
      <c r="AG66" t="s">
        <v>301</v>
      </c>
      <c r="AH66" t="s">
        <v>763</v>
      </c>
      <c r="AI66" t="s">
        <v>107</v>
      </c>
      <c r="AJ66">
        <v>47.12</v>
      </c>
    </row>
    <row r="67" spans="1:36" x14ac:dyDescent="0.3">
      <c r="A67">
        <v>66</v>
      </c>
      <c r="B67" t="s">
        <v>1484</v>
      </c>
      <c r="C67">
        <v>398</v>
      </c>
      <c r="D67" t="s">
        <v>107</v>
      </c>
      <c r="E67" t="s">
        <v>730</v>
      </c>
      <c r="F67" t="s">
        <v>949</v>
      </c>
      <c r="G67" t="s">
        <v>1422</v>
      </c>
      <c r="H67" t="s">
        <v>790</v>
      </c>
      <c r="I67" t="s">
        <v>791</v>
      </c>
      <c r="J67">
        <v>2500</v>
      </c>
      <c r="K67">
        <v>3</v>
      </c>
      <c r="L67">
        <v>1</v>
      </c>
      <c r="M67" t="s">
        <v>53</v>
      </c>
      <c r="N67">
        <v>1882</v>
      </c>
      <c r="U67">
        <v>51.532111</v>
      </c>
      <c r="V67">
        <v>46.039349999999999</v>
      </c>
      <c r="W67" t="s">
        <v>792</v>
      </c>
      <c r="X67">
        <v>4.7</v>
      </c>
      <c r="Y67">
        <v>4</v>
      </c>
      <c r="Z67" t="s">
        <v>1423</v>
      </c>
      <c r="AA67" t="s">
        <v>1424</v>
      </c>
      <c r="AB67" t="s">
        <v>1425</v>
      </c>
      <c r="AC67" t="s">
        <v>1426</v>
      </c>
      <c r="AD67" t="s">
        <v>107</v>
      </c>
      <c r="AE67" t="s">
        <v>107</v>
      </c>
      <c r="AF67" t="s">
        <v>107</v>
      </c>
      <c r="AG67" t="s">
        <v>107</v>
      </c>
      <c r="AH67" t="s">
        <v>107</v>
      </c>
      <c r="AI67" t="s">
        <v>107</v>
      </c>
      <c r="AJ67">
        <v>26.79</v>
      </c>
    </row>
    <row r="68" spans="1:36" x14ac:dyDescent="0.3">
      <c r="A68">
        <v>65</v>
      </c>
      <c r="B68" t="s">
        <v>1443</v>
      </c>
      <c r="C68" s="3">
        <f t="shared" ref="C68" si="28">J68/19</f>
        <v>390.5263157894737</v>
      </c>
      <c r="D68" t="s">
        <v>670</v>
      </c>
      <c r="E68" t="s">
        <v>669</v>
      </c>
      <c r="F68" t="s">
        <v>661</v>
      </c>
      <c r="G68" t="s">
        <v>662</v>
      </c>
      <c r="H68" t="s">
        <v>663</v>
      </c>
      <c r="I68" t="s">
        <v>36</v>
      </c>
      <c r="J68">
        <v>7420</v>
      </c>
      <c r="K68">
        <v>3</v>
      </c>
      <c r="L68">
        <v>1</v>
      </c>
      <c r="M68" t="s">
        <v>37</v>
      </c>
      <c r="N68">
        <v>1981</v>
      </c>
      <c r="T68">
        <v>1</v>
      </c>
      <c r="U68">
        <v>51.604647999999997</v>
      </c>
      <c r="V68">
        <v>45.988298999999998</v>
      </c>
      <c r="W68" t="s">
        <v>664</v>
      </c>
      <c r="X68">
        <v>5</v>
      </c>
      <c r="Y68">
        <v>3.3</v>
      </c>
      <c r="Z68" t="s">
        <v>665</v>
      </c>
      <c r="AA68" t="s">
        <v>666</v>
      </c>
      <c r="AB68" t="s">
        <v>667</v>
      </c>
      <c r="AC68" t="s">
        <v>668</v>
      </c>
      <c r="AD68" t="s">
        <v>107</v>
      </c>
      <c r="AE68" t="s">
        <v>670</v>
      </c>
      <c r="AF68" t="s">
        <v>671</v>
      </c>
      <c r="AG68" t="s">
        <v>107</v>
      </c>
      <c r="AH68" t="s">
        <v>672</v>
      </c>
      <c r="AI68" t="s">
        <v>49</v>
      </c>
      <c r="AJ68">
        <v>49.35</v>
      </c>
    </row>
    <row r="69" spans="1:36" x14ac:dyDescent="0.3">
      <c r="A69">
        <v>63</v>
      </c>
      <c r="B69" t="s">
        <v>1443</v>
      </c>
      <c r="C69" s="3">
        <f t="shared" ref="C69" si="29">J69/19</f>
        <v>398.65789473684208</v>
      </c>
      <c r="D69" t="s">
        <v>163</v>
      </c>
      <c r="E69" t="s">
        <v>162</v>
      </c>
      <c r="F69" t="s">
        <v>153</v>
      </c>
      <c r="G69" t="s">
        <v>154</v>
      </c>
      <c r="H69" t="s">
        <v>155</v>
      </c>
      <c r="I69" t="s">
        <v>36</v>
      </c>
      <c r="J69">
        <v>7574.5</v>
      </c>
      <c r="K69">
        <v>3</v>
      </c>
      <c r="M69" t="s">
        <v>156</v>
      </c>
      <c r="N69">
        <v>1932</v>
      </c>
      <c r="S69">
        <v>1</v>
      </c>
      <c r="T69">
        <v>1</v>
      </c>
      <c r="U69">
        <v>51.505484000000003</v>
      </c>
      <c r="V69">
        <v>45.952742999999998</v>
      </c>
      <c r="W69" t="s">
        <v>157</v>
      </c>
      <c r="X69">
        <v>4</v>
      </c>
      <c r="Y69">
        <v>4.2</v>
      </c>
      <c r="Z69" t="s">
        <v>158</v>
      </c>
      <c r="AA69" t="s">
        <v>159</v>
      </c>
      <c r="AB69" t="s">
        <v>160</v>
      </c>
      <c r="AC69" t="s">
        <v>161</v>
      </c>
      <c r="AD69" t="s">
        <v>107</v>
      </c>
      <c r="AE69" t="s">
        <v>163</v>
      </c>
      <c r="AF69" t="s">
        <v>122</v>
      </c>
      <c r="AG69" t="s">
        <v>164</v>
      </c>
      <c r="AH69" t="s">
        <v>165</v>
      </c>
      <c r="AI69" t="s">
        <v>79</v>
      </c>
      <c r="AJ69">
        <v>64.489999999999995</v>
      </c>
    </row>
    <row r="70" spans="1:36" x14ac:dyDescent="0.3">
      <c r="A70">
        <v>62</v>
      </c>
      <c r="B70" t="s">
        <v>1467</v>
      </c>
      <c r="C70">
        <v>850</v>
      </c>
      <c r="D70" t="s">
        <v>657</v>
      </c>
      <c r="E70" t="s">
        <v>656</v>
      </c>
      <c r="F70" t="s">
        <v>648</v>
      </c>
      <c r="G70" t="s">
        <v>649</v>
      </c>
      <c r="H70" t="s">
        <v>650</v>
      </c>
      <c r="I70" t="s">
        <v>36</v>
      </c>
      <c r="J70">
        <v>5514.4</v>
      </c>
      <c r="K70">
        <v>3</v>
      </c>
      <c r="L70">
        <v>1</v>
      </c>
      <c r="M70" t="s">
        <v>53</v>
      </c>
      <c r="N70">
        <v>1964</v>
      </c>
      <c r="T70">
        <v>1</v>
      </c>
      <c r="U70">
        <v>51.585054</v>
      </c>
      <c r="V70">
        <v>45.960881999999998</v>
      </c>
      <c r="W70" t="s">
        <v>651</v>
      </c>
      <c r="X70">
        <v>3.5</v>
      </c>
      <c r="Y70">
        <v>3.4</v>
      </c>
      <c r="Z70" t="s">
        <v>652</v>
      </c>
      <c r="AA70" t="s">
        <v>653</v>
      </c>
      <c r="AB70" t="s">
        <v>654</v>
      </c>
      <c r="AC70" t="s">
        <v>655</v>
      </c>
      <c r="AD70" t="s">
        <v>534</v>
      </c>
      <c r="AE70" t="s">
        <v>657</v>
      </c>
      <c r="AF70" t="s">
        <v>658</v>
      </c>
      <c r="AG70" t="s">
        <v>659</v>
      </c>
      <c r="AH70" t="s">
        <v>660</v>
      </c>
      <c r="AI70" t="s">
        <v>95</v>
      </c>
      <c r="AJ70">
        <v>49.53</v>
      </c>
    </row>
    <row r="71" spans="1:36" x14ac:dyDescent="0.3">
      <c r="A71">
        <v>61</v>
      </c>
      <c r="B71" t="s">
        <v>1461</v>
      </c>
      <c r="C71">
        <v>1270</v>
      </c>
      <c r="D71" t="s">
        <v>502</v>
      </c>
      <c r="E71" t="s">
        <v>501</v>
      </c>
      <c r="F71" t="s">
        <v>493</v>
      </c>
      <c r="G71" t="s">
        <v>494</v>
      </c>
      <c r="H71" t="s">
        <v>495</v>
      </c>
      <c r="I71" t="s">
        <v>36</v>
      </c>
      <c r="J71">
        <v>1643</v>
      </c>
      <c r="K71">
        <v>2</v>
      </c>
      <c r="L71">
        <v>1</v>
      </c>
      <c r="M71" t="s">
        <v>53</v>
      </c>
      <c r="N71">
        <v>1978</v>
      </c>
      <c r="T71">
        <v>1</v>
      </c>
      <c r="U71">
        <v>51.521211999999998</v>
      </c>
      <c r="V71">
        <v>46.016057000000004</v>
      </c>
      <c r="W71" t="s">
        <v>496</v>
      </c>
      <c r="X71">
        <v>3.9</v>
      </c>
      <c r="Y71">
        <v>4.2</v>
      </c>
      <c r="Z71" t="s">
        <v>497</v>
      </c>
      <c r="AA71" t="s">
        <v>498</v>
      </c>
      <c r="AB71" t="s">
        <v>499</v>
      </c>
      <c r="AC71" t="s">
        <v>500</v>
      </c>
      <c r="AD71" t="s">
        <v>107</v>
      </c>
      <c r="AE71" t="s">
        <v>502</v>
      </c>
      <c r="AF71" t="s">
        <v>503</v>
      </c>
      <c r="AG71" t="s">
        <v>504</v>
      </c>
      <c r="AH71" t="s">
        <v>505</v>
      </c>
      <c r="AI71" t="s">
        <v>138</v>
      </c>
      <c r="AJ71">
        <v>52.36</v>
      </c>
    </row>
    <row r="72" spans="1:36" x14ac:dyDescent="0.3">
      <c r="A72">
        <v>60</v>
      </c>
      <c r="B72" t="s">
        <v>1459</v>
      </c>
      <c r="C72">
        <v>1138</v>
      </c>
      <c r="D72" t="s">
        <v>107</v>
      </c>
      <c r="E72" t="s">
        <v>437</v>
      </c>
      <c r="F72" t="s">
        <v>429</v>
      </c>
      <c r="G72" t="s">
        <v>430</v>
      </c>
      <c r="H72" t="s">
        <v>431</v>
      </c>
      <c r="I72" t="s">
        <v>36</v>
      </c>
      <c r="J72">
        <v>7346.2</v>
      </c>
      <c r="K72">
        <v>3</v>
      </c>
      <c r="L72">
        <v>1</v>
      </c>
      <c r="N72">
        <v>1979</v>
      </c>
      <c r="T72">
        <v>1</v>
      </c>
      <c r="U72">
        <v>51.507866999999997</v>
      </c>
      <c r="V72">
        <v>45.981085</v>
      </c>
      <c r="W72" t="s">
        <v>432</v>
      </c>
      <c r="X72">
        <v>4.0999999999999996</v>
      </c>
      <c r="Y72">
        <v>4</v>
      </c>
      <c r="Z72" t="s">
        <v>433</v>
      </c>
      <c r="AA72" t="s">
        <v>434</v>
      </c>
      <c r="AB72" t="s">
        <v>435</v>
      </c>
      <c r="AC72" t="s">
        <v>436</v>
      </c>
      <c r="AD72" t="s">
        <v>438</v>
      </c>
      <c r="AE72" t="s">
        <v>107</v>
      </c>
      <c r="AF72" t="s">
        <v>107</v>
      </c>
      <c r="AG72" t="s">
        <v>107</v>
      </c>
      <c r="AH72" t="s">
        <v>439</v>
      </c>
      <c r="AI72" t="s">
        <v>440</v>
      </c>
      <c r="AJ72">
        <v>54.36</v>
      </c>
    </row>
    <row r="73" spans="1:36" x14ac:dyDescent="0.3">
      <c r="A73">
        <v>59</v>
      </c>
      <c r="B73" t="s">
        <v>1443</v>
      </c>
      <c r="C73" s="3">
        <f t="shared" ref="C73:C74" si="30">J73/19</f>
        <v>237.62105263157895</v>
      </c>
      <c r="D73" t="s">
        <v>390</v>
      </c>
      <c r="E73" t="s">
        <v>388</v>
      </c>
      <c r="F73" t="s">
        <v>380</v>
      </c>
      <c r="G73" t="s">
        <v>381</v>
      </c>
      <c r="H73" t="s">
        <v>382</v>
      </c>
      <c r="I73" t="s">
        <v>36</v>
      </c>
      <c r="J73">
        <v>4514.8</v>
      </c>
      <c r="K73">
        <v>3</v>
      </c>
      <c r="N73">
        <v>1963</v>
      </c>
      <c r="T73">
        <v>1</v>
      </c>
      <c r="U73">
        <v>51.502535999999999</v>
      </c>
      <c r="V73">
        <v>45.912930000000003</v>
      </c>
      <c r="W73" t="s">
        <v>383</v>
      </c>
      <c r="X73">
        <v>2</v>
      </c>
      <c r="Y73">
        <v>3.2</v>
      </c>
      <c r="Z73" t="s">
        <v>384</v>
      </c>
      <c r="AA73" t="s">
        <v>385</v>
      </c>
      <c r="AB73" t="s">
        <v>386</v>
      </c>
      <c r="AC73" t="s">
        <v>387</v>
      </c>
      <c r="AD73" t="s">
        <v>389</v>
      </c>
      <c r="AE73" t="s">
        <v>390</v>
      </c>
      <c r="AF73" t="s">
        <v>391</v>
      </c>
      <c r="AG73" t="s">
        <v>392</v>
      </c>
      <c r="AH73" t="s">
        <v>393</v>
      </c>
      <c r="AI73" t="s">
        <v>49</v>
      </c>
      <c r="AJ73">
        <v>56.18</v>
      </c>
    </row>
    <row r="74" spans="1:36" x14ac:dyDescent="0.3">
      <c r="A74">
        <v>58</v>
      </c>
      <c r="B74" t="s">
        <v>1443</v>
      </c>
      <c r="C74" s="3">
        <f t="shared" si="30"/>
        <v>139.12631578947369</v>
      </c>
      <c r="D74" t="s">
        <v>107</v>
      </c>
      <c r="E74" t="s">
        <v>1285</v>
      </c>
      <c r="F74" t="s">
        <v>1277</v>
      </c>
      <c r="G74" t="s">
        <v>1278</v>
      </c>
      <c r="H74" t="s">
        <v>1279</v>
      </c>
      <c r="I74" t="s">
        <v>36</v>
      </c>
      <c r="J74">
        <v>2643.4</v>
      </c>
      <c r="K74">
        <v>3</v>
      </c>
      <c r="L74">
        <v>1</v>
      </c>
      <c r="M74" t="s">
        <v>53</v>
      </c>
      <c r="N74">
        <v>1958</v>
      </c>
      <c r="T74">
        <v>1</v>
      </c>
      <c r="U74">
        <v>51.602896999999999</v>
      </c>
      <c r="V74">
        <v>45.908762000000003</v>
      </c>
      <c r="W74" t="s">
        <v>1280</v>
      </c>
      <c r="X74">
        <v>3.9</v>
      </c>
      <c r="Y74">
        <v>4.3</v>
      </c>
      <c r="Z74" t="s">
        <v>1281</v>
      </c>
      <c r="AA74" t="s">
        <v>1282</v>
      </c>
      <c r="AB74" t="s">
        <v>1283</v>
      </c>
      <c r="AC74" t="s">
        <v>1284</v>
      </c>
      <c r="AD74" t="s">
        <v>107</v>
      </c>
      <c r="AE74" t="s">
        <v>107</v>
      </c>
      <c r="AF74" t="s">
        <v>107</v>
      </c>
      <c r="AG74" t="s">
        <v>107</v>
      </c>
      <c r="AH74" t="s">
        <v>107</v>
      </c>
      <c r="AI74" t="s">
        <v>107</v>
      </c>
      <c r="AJ74">
        <v>33.18</v>
      </c>
    </row>
    <row r="75" spans="1:36" x14ac:dyDescent="0.3">
      <c r="A75">
        <v>57</v>
      </c>
      <c r="B75" t="s">
        <v>1474</v>
      </c>
      <c r="C75">
        <v>329</v>
      </c>
      <c r="D75" t="s">
        <v>107</v>
      </c>
      <c r="E75" t="s">
        <v>785</v>
      </c>
      <c r="F75" t="s">
        <v>777</v>
      </c>
      <c r="G75" t="s">
        <v>778</v>
      </c>
      <c r="H75" t="s">
        <v>779</v>
      </c>
      <c r="I75" t="s">
        <v>83</v>
      </c>
      <c r="J75">
        <v>5474.7</v>
      </c>
      <c r="K75">
        <v>3</v>
      </c>
      <c r="L75">
        <v>1</v>
      </c>
      <c r="M75" t="s">
        <v>53</v>
      </c>
      <c r="N75">
        <v>1936</v>
      </c>
      <c r="O75">
        <v>1960</v>
      </c>
      <c r="S75">
        <v>1</v>
      </c>
      <c r="T75">
        <v>1</v>
      </c>
      <c r="U75">
        <v>51.537433</v>
      </c>
      <c r="V75">
        <v>46.006768000000001</v>
      </c>
      <c r="W75" t="s">
        <v>780</v>
      </c>
      <c r="X75">
        <v>5</v>
      </c>
      <c r="Y75">
        <v>4.5999999999999996</v>
      </c>
      <c r="Z75" t="s">
        <v>781</v>
      </c>
      <c r="AA75" t="s">
        <v>782</v>
      </c>
      <c r="AB75" t="s">
        <v>783</v>
      </c>
      <c r="AC75" t="s">
        <v>784</v>
      </c>
      <c r="AD75" t="s">
        <v>107</v>
      </c>
      <c r="AE75" t="s">
        <v>107</v>
      </c>
      <c r="AF75" t="s">
        <v>107</v>
      </c>
      <c r="AG75" t="s">
        <v>107</v>
      </c>
      <c r="AH75" t="s">
        <v>786</v>
      </c>
      <c r="AI75" t="s">
        <v>787</v>
      </c>
      <c r="AJ75">
        <v>46.6</v>
      </c>
    </row>
    <row r="76" spans="1:36" x14ac:dyDescent="0.3">
      <c r="A76">
        <v>56</v>
      </c>
      <c r="B76" t="s">
        <v>1492</v>
      </c>
      <c r="C76">
        <v>861</v>
      </c>
      <c r="D76" t="s">
        <v>107</v>
      </c>
      <c r="E76" t="s">
        <v>1135</v>
      </c>
      <c r="F76" t="s">
        <v>1127</v>
      </c>
      <c r="G76" t="s">
        <v>1128</v>
      </c>
      <c r="H76" t="s">
        <v>1129</v>
      </c>
      <c r="I76" t="s">
        <v>36</v>
      </c>
      <c r="J76">
        <v>4084.6</v>
      </c>
      <c r="K76">
        <v>3</v>
      </c>
      <c r="L76">
        <v>1</v>
      </c>
      <c r="N76">
        <v>1985</v>
      </c>
      <c r="T76">
        <v>1</v>
      </c>
      <c r="U76">
        <v>51.598047000000001</v>
      </c>
      <c r="V76">
        <v>45.92362</v>
      </c>
      <c r="W76" t="s">
        <v>1130</v>
      </c>
      <c r="X76">
        <v>4.0999999999999996</v>
      </c>
      <c r="Y76">
        <v>3.5</v>
      </c>
      <c r="Z76" t="s">
        <v>1131</v>
      </c>
      <c r="AA76" t="s">
        <v>1132</v>
      </c>
      <c r="AB76" t="s">
        <v>1133</v>
      </c>
      <c r="AC76" t="s">
        <v>1134</v>
      </c>
      <c r="AD76" t="s">
        <v>107</v>
      </c>
      <c r="AE76" t="s">
        <v>107</v>
      </c>
      <c r="AF76" t="s">
        <v>1136</v>
      </c>
      <c r="AG76" t="s">
        <v>107</v>
      </c>
      <c r="AH76" t="s">
        <v>1137</v>
      </c>
      <c r="AI76" t="s">
        <v>1138</v>
      </c>
      <c r="AJ76">
        <v>37.299999999999997</v>
      </c>
    </row>
    <row r="77" spans="1:36" x14ac:dyDescent="0.3">
      <c r="A77">
        <v>55</v>
      </c>
      <c r="B77" t="s">
        <v>1443</v>
      </c>
      <c r="C77" s="3">
        <f t="shared" ref="C77" si="31">J77/19</f>
        <v>384.32105263157899</v>
      </c>
      <c r="D77" t="s">
        <v>1189</v>
      </c>
      <c r="E77" t="s">
        <v>1188</v>
      </c>
      <c r="F77" t="s">
        <v>1180</v>
      </c>
      <c r="G77" t="s">
        <v>1181</v>
      </c>
      <c r="H77" t="s">
        <v>1182</v>
      </c>
      <c r="I77" t="s">
        <v>36</v>
      </c>
      <c r="J77">
        <v>7302.1</v>
      </c>
      <c r="K77">
        <v>3</v>
      </c>
      <c r="L77">
        <v>1</v>
      </c>
      <c r="M77" t="s">
        <v>37</v>
      </c>
      <c r="N77">
        <v>1985</v>
      </c>
      <c r="T77">
        <v>1</v>
      </c>
      <c r="U77">
        <v>51.613452000000002</v>
      </c>
      <c r="V77">
        <v>45.985773999999999</v>
      </c>
      <c r="W77" t="s">
        <v>1183</v>
      </c>
      <c r="X77">
        <v>3.8</v>
      </c>
      <c r="Y77">
        <v>3.3</v>
      </c>
      <c r="Z77" t="s">
        <v>1184</v>
      </c>
      <c r="AA77" t="s">
        <v>1185</v>
      </c>
      <c r="AB77" t="s">
        <v>1186</v>
      </c>
      <c r="AC77" t="s">
        <v>1187</v>
      </c>
      <c r="AD77" t="s">
        <v>107</v>
      </c>
      <c r="AE77" t="s">
        <v>1189</v>
      </c>
      <c r="AF77" t="s">
        <v>1190</v>
      </c>
      <c r="AG77" t="s">
        <v>107</v>
      </c>
      <c r="AH77" t="s">
        <v>107</v>
      </c>
      <c r="AI77" t="s">
        <v>107</v>
      </c>
      <c r="AJ77">
        <v>35.94</v>
      </c>
    </row>
    <row r="78" spans="1:36" x14ac:dyDescent="0.3">
      <c r="A78">
        <v>54</v>
      </c>
      <c r="B78" t="s">
        <v>1470</v>
      </c>
      <c r="C78">
        <v>1115</v>
      </c>
      <c r="D78" t="s">
        <v>107</v>
      </c>
      <c r="E78" t="s">
        <v>701</v>
      </c>
      <c r="F78" t="s">
        <v>693</v>
      </c>
      <c r="G78" t="s">
        <v>694</v>
      </c>
      <c r="H78" t="s">
        <v>695</v>
      </c>
      <c r="I78" t="s">
        <v>36</v>
      </c>
      <c r="J78">
        <v>18016.2</v>
      </c>
      <c r="K78">
        <v>3</v>
      </c>
      <c r="L78">
        <v>1</v>
      </c>
      <c r="M78" t="s">
        <v>53</v>
      </c>
      <c r="N78">
        <v>2019</v>
      </c>
      <c r="R78">
        <v>1</v>
      </c>
      <c r="T78">
        <v>1</v>
      </c>
      <c r="U78">
        <v>51.574213</v>
      </c>
      <c r="V78">
        <v>46.009875999999998</v>
      </c>
      <c r="W78" t="s">
        <v>696</v>
      </c>
      <c r="X78">
        <v>4.8</v>
      </c>
      <c r="Y78">
        <v>4.2</v>
      </c>
      <c r="Z78" t="s">
        <v>697</v>
      </c>
      <c r="AA78" t="s">
        <v>698</v>
      </c>
      <c r="AB78" t="s">
        <v>699</v>
      </c>
      <c r="AC78" t="s">
        <v>700</v>
      </c>
      <c r="AD78" t="s">
        <v>107</v>
      </c>
      <c r="AE78" t="s">
        <v>107</v>
      </c>
      <c r="AF78" t="s">
        <v>107</v>
      </c>
      <c r="AG78" t="s">
        <v>107</v>
      </c>
      <c r="AH78" t="s">
        <v>702</v>
      </c>
      <c r="AI78" t="s">
        <v>107</v>
      </c>
      <c r="AJ78">
        <v>48.68</v>
      </c>
    </row>
    <row r="79" spans="1:36" x14ac:dyDescent="0.3">
      <c r="A79">
        <v>53</v>
      </c>
      <c r="B79" t="s">
        <v>1443</v>
      </c>
      <c r="C79" s="3">
        <f t="shared" ref="C79" si="32">J79/19</f>
        <v>322.40000000000003</v>
      </c>
      <c r="D79" t="s">
        <v>928</v>
      </c>
      <c r="E79" t="s">
        <v>927</v>
      </c>
      <c r="F79" t="s">
        <v>919</v>
      </c>
      <c r="G79" t="s">
        <v>920</v>
      </c>
      <c r="H79" t="s">
        <v>921</v>
      </c>
      <c r="I79" t="s">
        <v>36</v>
      </c>
      <c r="J79">
        <v>6125.6</v>
      </c>
      <c r="K79">
        <v>3</v>
      </c>
      <c r="L79">
        <v>1</v>
      </c>
      <c r="M79" t="s">
        <v>53</v>
      </c>
      <c r="N79">
        <v>2014</v>
      </c>
      <c r="T79">
        <v>1</v>
      </c>
      <c r="U79">
        <v>51.606886000000003</v>
      </c>
      <c r="V79">
        <v>45.996312000000003</v>
      </c>
      <c r="W79" t="s">
        <v>922</v>
      </c>
      <c r="X79">
        <v>4.3</v>
      </c>
      <c r="Y79">
        <v>4.0999999999999996</v>
      </c>
      <c r="Z79" t="s">
        <v>923</v>
      </c>
      <c r="AA79" t="s">
        <v>924</v>
      </c>
      <c r="AB79" t="s">
        <v>925</v>
      </c>
      <c r="AC79" t="s">
        <v>926</v>
      </c>
      <c r="AD79" t="s">
        <v>107</v>
      </c>
      <c r="AE79" t="s">
        <v>928</v>
      </c>
      <c r="AF79" t="s">
        <v>377</v>
      </c>
      <c r="AG79" t="s">
        <v>929</v>
      </c>
      <c r="AH79" t="s">
        <v>930</v>
      </c>
      <c r="AI79" t="s">
        <v>107</v>
      </c>
      <c r="AJ79">
        <v>43.69</v>
      </c>
    </row>
    <row r="80" spans="1:36" x14ac:dyDescent="0.3">
      <c r="A80">
        <v>52</v>
      </c>
      <c r="B80" t="s">
        <v>1486</v>
      </c>
      <c r="C80">
        <v>840</v>
      </c>
      <c r="D80" t="s">
        <v>986</v>
      </c>
      <c r="E80" t="s">
        <v>985</v>
      </c>
      <c r="F80" t="s">
        <v>977</v>
      </c>
      <c r="G80" t="s">
        <v>978</v>
      </c>
      <c r="H80" t="s">
        <v>979</v>
      </c>
      <c r="I80" t="s">
        <v>36</v>
      </c>
      <c r="J80">
        <v>7449.8</v>
      </c>
      <c r="K80">
        <v>3</v>
      </c>
      <c r="L80">
        <v>1</v>
      </c>
      <c r="M80" t="s">
        <v>37</v>
      </c>
      <c r="N80">
        <v>1987</v>
      </c>
      <c r="T80">
        <v>1</v>
      </c>
      <c r="U80">
        <v>51.611271000000002</v>
      </c>
      <c r="V80">
        <v>46.005249999999997</v>
      </c>
      <c r="W80" t="s">
        <v>980</v>
      </c>
      <c r="X80">
        <v>3.5</v>
      </c>
      <c r="Y80">
        <v>4.2</v>
      </c>
      <c r="Z80" t="s">
        <v>981</v>
      </c>
      <c r="AA80" t="s">
        <v>982</v>
      </c>
      <c r="AB80" t="s">
        <v>983</v>
      </c>
      <c r="AC80" t="s">
        <v>984</v>
      </c>
      <c r="AD80" t="s">
        <v>107</v>
      </c>
      <c r="AE80" t="s">
        <v>986</v>
      </c>
      <c r="AF80" t="s">
        <v>987</v>
      </c>
      <c r="AG80" t="s">
        <v>988</v>
      </c>
      <c r="AH80" t="s">
        <v>989</v>
      </c>
      <c r="AI80" t="s">
        <v>49</v>
      </c>
      <c r="AJ80">
        <v>42.44</v>
      </c>
    </row>
    <row r="81" spans="1:36" x14ac:dyDescent="0.3">
      <c r="A81">
        <v>51</v>
      </c>
      <c r="B81" t="s">
        <v>1466</v>
      </c>
      <c r="C81">
        <v>1055</v>
      </c>
      <c r="D81" t="s">
        <v>644</v>
      </c>
      <c r="E81" t="s">
        <v>643</v>
      </c>
      <c r="F81" t="s">
        <v>635</v>
      </c>
      <c r="G81" t="s">
        <v>636</v>
      </c>
      <c r="H81" t="s">
        <v>637</v>
      </c>
      <c r="I81" t="s">
        <v>83</v>
      </c>
      <c r="J81">
        <v>10187.9</v>
      </c>
      <c r="K81">
        <v>3</v>
      </c>
      <c r="L81">
        <v>1</v>
      </c>
      <c r="M81" t="s">
        <v>53</v>
      </c>
      <c r="N81">
        <v>1962</v>
      </c>
      <c r="O81">
        <v>2024</v>
      </c>
      <c r="T81">
        <v>1</v>
      </c>
      <c r="U81">
        <v>51.597548000000003</v>
      </c>
      <c r="V81">
        <v>45.970820000000003</v>
      </c>
      <c r="W81" t="s">
        <v>638</v>
      </c>
      <c r="X81">
        <v>4.3</v>
      </c>
      <c r="Y81">
        <v>4.0999999999999996</v>
      </c>
      <c r="Z81" t="s">
        <v>639</v>
      </c>
      <c r="AA81" t="s">
        <v>640</v>
      </c>
      <c r="AB81" t="s">
        <v>641</v>
      </c>
      <c r="AC81" t="s">
        <v>642</v>
      </c>
      <c r="AD81" t="s">
        <v>148</v>
      </c>
      <c r="AE81" t="s">
        <v>644</v>
      </c>
      <c r="AF81" t="s">
        <v>645</v>
      </c>
      <c r="AG81" t="s">
        <v>646</v>
      </c>
      <c r="AH81" t="s">
        <v>647</v>
      </c>
      <c r="AI81" t="s">
        <v>79</v>
      </c>
      <c r="AJ81">
        <v>49.62</v>
      </c>
    </row>
    <row r="82" spans="1:36" x14ac:dyDescent="0.3">
      <c r="A82">
        <v>50</v>
      </c>
      <c r="B82" t="s">
        <v>1443</v>
      </c>
      <c r="C82" s="3">
        <f t="shared" ref="C82" si="33">J82/19</f>
        <v>199.14210526315787</v>
      </c>
      <c r="D82" t="s">
        <v>107</v>
      </c>
      <c r="E82" t="s">
        <v>323</v>
      </c>
      <c r="F82" t="s">
        <v>315</v>
      </c>
      <c r="G82" t="s">
        <v>316</v>
      </c>
      <c r="H82" t="s">
        <v>317</v>
      </c>
      <c r="I82" t="s">
        <v>36</v>
      </c>
      <c r="J82">
        <v>3783.7</v>
      </c>
      <c r="K82">
        <v>3</v>
      </c>
      <c r="L82">
        <v>1</v>
      </c>
      <c r="M82" t="s">
        <v>53</v>
      </c>
      <c r="N82">
        <v>1957</v>
      </c>
      <c r="T82">
        <v>1</v>
      </c>
      <c r="U82">
        <v>51.599142999999998</v>
      </c>
      <c r="V82">
        <v>45.964143</v>
      </c>
      <c r="W82" t="s">
        <v>318</v>
      </c>
      <c r="X82">
        <v>4.3</v>
      </c>
      <c r="Y82">
        <v>4.0999999999999996</v>
      </c>
      <c r="Z82" t="s">
        <v>319</v>
      </c>
      <c r="AA82" t="s">
        <v>320</v>
      </c>
      <c r="AB82" t="s">
        <v>321</v>
      </c>
      <c r="AC82" t="s">
        <v>322</v>
      </c>
      <c r="AD82" t="s">
        <v>324</v>
      </c>
      <c r="AE82" t="s">
        <v>107</v>
      </c>
      <c r="AF82" t="s">
        <v>107</v>
      </c>
      <c r="AG82" t="s">
        <v>325</v>
      </c>
      <c r="AH82" t="s">
        <v>326</v>
      </c>
      <c r="AI82" t="s">
        <v>327</v>
      </c>
      <c r="AJ82">
        <v>57.19</v>
      </c>
    </row>
    <row r="83" spans="1:36" x14ac:dyDescent="0.3">
      <c r="A83">
        <v>49</v>
      </c>
      <c r="B83" t="s">
        <v>1443</v>
      </c>
      <c r="C83" s="3">
        <f t="shared" ref="C83" si="34">J83/19</f>
        <v>531.96315789473681</v>
      </c>
      <c r="D83" t="s">
        <v>107</v>
      </c>
      <c r="E83" t="s">
        <v>730</v>
      </c>
      <c r="F83" s="1" t="s">
        <v>1471</v>
      </c>
      <c r="G83" t="s">
        <v>725</v>
      </c>
      <c r="H83" t="s">
        <v>726</v>
      </c>
      <c r="I83" t="s">
        <v>36</v>
      </c>
      <c r="J83">
        <v>10107.299999999999</v>
      </c>
      <c r="K83">
        <v>3</v>
      </c>
      <c r="L83">
        <v>1</v>
      </c>
      <c r="M83" t="s">
        <v>53</v>
      </c>
      <c r="N83">
        <v>2020</v>
      </c>
      <c r="P83">
        <v>400</v>
      </c>
      <c r="R83">
        <v>1</v>
      </c>
      <c r="S83">
        <v>1</v>
      </c>
      <c r="T83">
        <v>1</v>
      </c>
      <c r="U83">
        <v>51.540362999999999</v>
      </c>
      <c r="V83">
        <v>46.002259000000002</v>
      </c>
      <c r="W83" t="s">
        <v>727</v>
      </c>
      <c r="Y83">
        <v>4.9000000000000004</v>
      </c>
      <c r="Z83" t="s">
        <v>728</v>
      </c>
      <c r="AA83" t="s">
        <v>729</v>
      </c>
      <c r="AD83" t="s">
        <v>107</v>
      </c>
      <c r="AE83" t="s">
        <v>107</v>
      </c>
      <c r="AF83" t="s">
        <v>107</v>
      </c>
      <c r="AG83" t="s">
        <v>107</v>
      </c>
      <c r="AH83" t="s">
        <v>107</v>
      </c>
      <c r="AI83" t="s">
        <v>107</v>
      </c>
      <c r="AJ83">
        <v>47.9</v>
      </c>
    </row>
    <row r="84" spans="1:36" s="4" customFormat="1" x14ac:dyDescent="0.3">
      <c r="A84" s="4">
        <v>48</v>
      </c>
      <c r="B84" s="4" t="s">
        <v>1455</v>
      </c>
      <c r="C84" s="4">
        <v>1043</v>
      </c>
      <c r="D84" s="4" t="s">
        <v>107</v>
      </c>
      <c r="E84" s="4" t="s">
        <v>374</v>
      </c>
      <c r="F84" s="4" t="s">
        <v>366</v>
      </c>
      <c r="G84" s="4" t="s">
        <v>367</v>
      </c>
      <c r="H84" s="4" t="s">
        <v>368</v>
      </c>
      <c r="I84" s="4" t="s">
        <v>36</v>
      </c>
      <c r="J84" s="4">
        <v>7357.1</v>
      </c>
      <c r="K84" s="4">
        <v>3</v>
      </c>
      <c r="L84" s="4">
        <v>1</v>
      </c>
      <c r="M84" s="4" t="s">
        <v>37</v>
      </c>
      <c r="N84" s="4">
        <v>1976</v>
      </c>
      <c r="T84" s="4">
        <v>1</v>
      </c>
      <c r="U84" s="4">
        <v>51.606431999999998</v>
      </c>
      <c r="V84" s="4">
        <v>45.982415000000003</v>
      </c>
      <c r="W84" s="4" t="s">
        <v>369</v>
      </c>
      <c r="X84" s="4">
        <v>3.9</v>
      </c>
      <c r="Y84" s="4">
        <v>3.9</v>
      </c>
      <c r="Z84" s="4" t="s">
        <v>370</v>
      </c>
      <c r="AA84" s="4" t="s">
        <v>371</v>
      </c>
      <c r="AB84" s="4" t="s">
        <v>372</v>
      </c>
      <c r="AC84" s="4" t="s">
        <v>373</v>
      </c>
      <c r="AD84" s="4" t="s">
        <v>375</v>
      </c>
      <c r="AE84" s="4" t="s">
        <v>376</v>
      </c>
      <c r="AF84" s="4" t="s">
        <v>377</v>
      </c>
      <c r="AG84" s="4" t="s">
        <v>378</v>
      </c>
      <c r="AH84" s="4" t="s">
        <v>379</v>
      </c>
      <c r="AI84" s="4" t="s">
        <v>49</v>
      </c>
      <c r="AJ84" s="4">
        <v>56.24</v>
      </c>
    </row>
    <row r="85" spans="1:36" x14ac:dyDescent="0.3">
      <c r="A85">
        <v>47</v>
      </c>
      <c r="B85" t="s">
        <v>1468</v>
      </c>
      <c r="C85">
        <v>1030</v>
      </c>
      <c r="D85" t="s">
        <v>1510</v>
      </c>
      <c r="E85" t="s">
        <v>681</v>
      </c>
      <c r="F85" t="s">
        <v>673</v>
      </c>
      <c r="G85" t="s">
        <v>674</v>
      </c>
      <c r="H85" t="s">
        <v>675</v>
      </c>
      <c r="I85" t="s">
        <v>36</v>
      </c>
      <c r="J85">
        <v>7301.4</v>
      </c>
      <c r="K85">
        <v>3</v>
      </c>
      <c r="L85">
        <v>1</v>
      </c>
      <c r="N85">
        <v>1981</v>
      </c>
      <c r="T85">
        <v>1</v>
      </c>
      <c r="U85">
        <v>51.601984999999999</v>
      </c>
      <c r="V85">
        <v>45.907558000000002</v>
      </c>
      <c r="W85" t="s">
        <v>676</v>
      </c>
      <c r="X85">
        <v>2.8</v>
      </c>
      <c r="Y85">
        <v>4.3</v>
      </c>
      <c r="Z85" t="s">
        <v>677</v>
      </c>
      <c r="AA85" t="s">
        <v>678</v>
      </c>
      <c r="AB85" t="s">
        <v>679</v>
      </c>
      <c r="AC85" t="s">
        <v>680</v>
      </c>
      <c r="AD85" t="s">
        <v>682</v>
      </c>
      <c r="AE85" t="s">
        <v>683</v>
      </c>
      <c r="AF85" t="s">
        <v>684</v>
      </c>
      <c r="AG85" t="s">
        <v>685</v>
      </c>
      <c r="AH85" t="s">
        <v>107</v>
      </c>
      <c r="AI85" t="s">
        <v>107</v>
      </c>
      <c r="AJ85">
        <v>48.88</v>
      </c>
    </row>
    <row r="86" spans="1:36" x14ac:dyDescent="0.3">
      <c r="A86">
        <v>46</v>
      </c>
      <c r="B86" t="s">
        <v>1443</v>
      </c>
      <c r="C86" s="3">
        <f t="shared" ref="C86:C89" si="35">J86/19</f>
        <v>35.05263157894737</v>
      </c>
      <c r="D86" t="s">
        <v>1508</v>
      </c>
      <c r="E86" t="s">
        <v>749</v>
      </c>
      <c r="F86" t="s">
        <v>1027</v>
      </c>
      <c r="G86" t="s">
        <v>1028</v>
      </c>
      <c r="H86" t="s">
        <v>1029</v>
      </c>
      <c r="I86" t="s">
        <v>791</v>
      </c>
      <c r="J86">
        <v>666</v>
      </c>
      <c r="K86">
        <v>1</v>
      </c>
      <c r="M86" t="s">
        <v>53</v>
      </c>
      <c r="N86">
        <v>1960</v>
      </c>
      <c r="U86">
        <v>51.535277000000001</v>
      </c>
      <c r="V86">
        <v>46.01117</v>
      </c>
      <c r="W86" t="s">
        <v>1030</v>
      </c>
      <c r="X86">
        <v>3.3</v>
      </c>
      <c r="Y86">
        <v>4.8</v>
      </c>
      <c r="Z86" t="s">
        <v>1031</v>
      </c>
      <c r="AA86" t="s">
        <v>1032</v>
      </c>
      <c r="AB86" t="s">
        <v>1033</v>
      </c>
      <c r="AC86" t="s">
        <v>1034</v>
      </c>
      <c r="AD86" t="s">
        <v>750</v>
      </c>
      <c r="AE86" t="s">
        <v>751</v>
      </c>
      <c r="AF86" t="s">
        <v>107</v>
      </c>
      <c r="AG86" t="s">
        <v>752</v>
      </c>
      <c r="AH86" t="s">
        <v>107</v>
      </c>
      <c r="AI86" t="s">
        <v>107</v>
      </c>
      <c r="AJ86">
        <v>40.090000000000003</v>
      </c>
    </row>
    <row r="87" spans="1:36" x14ac:dyDescent="0.3">
      <c r="A87">
        <v>45</v>
      </c>
      <c r="B87" t="s">
        <v>1443</v>
      </c>
      <c r="C87" s="3">
        <f t="shared" si="35"/>
        <v>310.17368421052635</v>
      </c>
      <c r="D87" t="s">
        <v>886</v>
      </c>
      <c r="E87" t="s">
        <v>885</v>
      </c>
      <c r="F87" t="s">
        <v>877</v>
      </c>
      <c r="G87" t="s">
        <v>878</v>
      </c>
      <c r="H87" t="s">
        <v>879</v>
      </c>
      <c r="I87" t="s">
        <v>36</v>
      </c>
      <c r="J87">
        <v>5893.3</v>
      </c>
      <c r="K87">
        <v>3</v>
      </c>
      <c r="L87">
        <v>1</v>
      </c>
      <c r="N87">
        <v>1970</v>
      </c>
      <c r="T87">
        <v>1</v>
      </c>
      <c r="U87">
        <v>51.611868999999999</v>
      </c>
      <c r="V87">
        <v>45.975955999999996</v>
      </c>
      <c r="W87" t="s">
        <v>880</v>
      </c>
      <c r="X87">
        <v>3</v>
      </c>
      <c r="Y87">
        <v>3.2</v>
      </c>
      <c r="Z87" t="s">
        <v>881</v>
      </c>
      <c r="AA87" t="s">
        <v>882</v>
      </c>
      <c r="AB87" t="s">
        <v>883</v>
      </c>
      <c r="AC87" t="s">
        <v>884</v>
      </c>
      <c r="AD87" t="s">
        <v>107</v>
      </c>
      <c r="AE87" t="s">
        <v>886</v>
      </c>
      <c r="AF87" t="s">
        <v>887</v>
      </c>
      <c r="AG87" t="s">
        <v>107</v>
      </c>
      <c r="AH87" t="s">
        <v>888</v>
      </c>
      <c r="AI87" t="s">
        <v>49</v>
      </c>
      <c r="AJ87">
        <v>44.51</v>
      </c>
    </row>
    <row r="88" spans="1:36" x14ac:dyDescent="0.3">
      <c r="A88">
        <v>44</v>
      </c>
      <c r="B88" t="s">
        <v>1443</v>
      </c>
      <c r="C88" s="3">
        <f t="shared" si="35"/>
        <v>236.50526315789475</v>
      </c>
      <c r="D88" t="s">
        <v>107</v>
      </c>
      <c r="E88" t="s">
        <v>461</v>
      </c>
      <c r="F88" t="s">
        <v>453</v>
      </c>
      <c r="G88" t="s">
        <v>454</v>
      </c>
      <c r="H88" t="s">
        <v>455</v>
      </c>
      <c r="I88" t="s">
        <v>36</v>
      </c>
      <c r="J88">
        <v>4493.6000000000004</v>
      </c>
      <c r="K88">
        <v>3</v>
      </c>
      <c r="L88">
        <v>1</v>
      </c>
      <c r="M88" t="s">
        <v>53</v>
      </c>
      <c r="N88">
        <v>1969</v>
      </c>
      <c r="T88">
        <v>1</v>
      </c>
      <c r="U88">
        <v>51.571111999999999</v>
      </c>
      <c r="V88">
        <v>45.973899000000003</v>
      </c>
      <c r="W88" t="s">
        <v>456</v>
      </c>
      <c r="X88">
        <v>3.9</v>
      </c>
      <c r="Y88">
        <v>4.0999999999999996</v>
      </c>
      <c r="Z88" t="s">
        <v>457</v>
      </c>
      <c r="AA88" t="s">
        <v>458</v>
      </c>
      <c r="AB88" t="s">
        <v>459</v>
      </c>
      <c r="AC88" t="s">
        <v>460</v>
      </c>
      <c r="AD88" t="s">
        <v>247</v>
      </c>
      <c r="AE88" t="s">
        <v>462</v>
      </c>
      <c r="AF88" t="s">
        <v>463</v>
      </c>
      <c r="AG88" t="s">
        <v>464</v>
      </c>
      <c r="AH88" t="s">
        <v>465</v>
      </c>
      <c r="AI88" t="s">
        <v>49</v>
      </c>
      <c r="AJ88">
        <v>53.88</v>
      </c>
    </row>
    <row r="89" spans="1:36" x14ac:dyDescent="0.3">
      <c r="A89">
        <v>43</v>
      </c>
      <c r="B89" t="s">
        <v>1443</v>
      </c>
      <c r="C89" s="3">
        <f t="shared" si="35"/>
        <v>271.71578947368425</v>
      </c>
      <c r="D89" t="s">
        <v>1225</v>
      </c>
      <c r="E89" t="s">
        <v>1224</v>
      </c>
      <c r="F89" t="s">
        <v>1216</v>
      </c>
      <c r="G89" t="s">
        <v>1217</v>
      </c>
      <c r="H89" t="s">
        <v>1218</v>
      </c>
      <c r="I89" t="s">
        <v>36</v>
      </c>
      <c r="J89">
        <v>5162.6000000000004</v>
      </c>
      <c r="K89">
        <v>3</v>
      </c>
      <c r="N89">
        <v>1963</v>
      </c>
      <c r="T89">
        <v>1</v>
      </c>
      <c r="U89">
        <v>51.498885999999999</v>
      </c>
      <c r="V89">
        <v>45.933231999999997</v>
      </c>
      <c r="W89" t="s">
        <v>1219</v>
      </c>
      <c r="X89">
        <v>4</v>
      </c>
      <c r="Y89">
        <v>4.3</v>
      </c>
      <c r="Z89" t="s">
        <v>1220</v>
      </c>
      <c r="AA89" t="s">
        <v>1221</v>
      </c>
      <c r="AB89" t="s">
        <v>1222</v>
      </c>
      <c r="AC89" t="s">
        <v>1223</v>
      </c>
      <c r="AD89" t="s">
        <v>107</v>
      </c>
      <c r="AE89" t="s">
        <v>1225</v>
      </c>
      <c r="AF89" t="s">
        <v>1226</v>
      </c>
      <c r="AG89" t="s">
        <v>107</v>
      </c>
      <c r="AH89" t="s">
        <v>1227</v>
      </c>
      <c r="AI89" t="s">
        <v>107</v>
      </c>
      <c r="AJ89">
        <v>34.979999999999997</v>
      </c>
    </row>
    <row r="90" spans="1:36" x14ac:dyDescent="0.3">
      <c r="A90">
        <v>42</v>
      </c>
      <c r="B90" t="s">
        <v>1447</v>
      </c>
      <c r="C90">
        <v>1215</v>
      </c>
      <c r="D90" t="s">
        <v>213</v>
      </c>
      <c r="E90" t="s">
        <v>212</v>
      </c>
      <c r="F90" t="s">
        <v>204</v>
      </c>
      <c r="G90" t="s">
        <v>205</v>
      </c>
      <c r="H90" t="s">
        <v>206</v>
      </c>
      <c r="I90" t="s">
        <v>36</v>
      </c>
      <c r="J90">
        <v>5603.5</v>
      </c>
      <c r="K90">
        <v>3</v>
      </c>
      <c r="L90">
        <v>1</v>
      </c>
      <c r="N90">
        <v>1935</v>
      </c>
      <c r="T90">
        <v>1</v>
      </c>
      <c r="U90">
        <v>51.522540999999997</v>
      </c>
      <c r="V90">
        <v>45.976315</v>
      </c>
      <c r="W90" t="s">
        <v>207</v>
      </c>
      <c r="X90">
        <v>4.5</v>
      </c>
      <c r="Y90">
        <v>4</v>
      </c>
      <c r="Z90" t="s">
        <v>208</v>
      </c>
      <c r="AA90" t="s">
        <v>209</v>
      </c>
      <c r="AB90" t="s">
        <v>210</v>
      </c>
      <c r="AC90" t="s">
        <v>211</v>
      </c>
      <c r="AD90" t="s">
        <v>60</v>
      </c>
      <c r="AE90" t="s">
        <v>213</v>
      </c>
      <c r="AF90" t="s">
        <v>214</v>
      </c>
      <c r="AG90" t="s">
        <v>215</v>
      </c>
      <c r="AH90" t="s">
        <v>216</v>
      </c>
      <c r="AI90" t="s">
        <v>79</v>
      </c>
      <c r="AJ90">
        <v>63.37</v>
      </c>
    </row>
    <row r="91" spans="1:36" x14ac:dyDescent="0.3">
      <c r="A91">
        <v>41</v>
      </c>
      <c r="B91" t="s">
        <v>1463</v>
      </c>
      <c r="C91">
        <v>578</v>
      </c>
      <c r="D91" t="s">
        <v>535</v>
      </c>
      <c r="E91" t="s">
        <v>533</v>
      </c>
      <c r="F91" t="s">
        <v>525</v>
      </c>
      <c r="G91" t="s">
        <v>526</v>
      </c>
      <c r="H91" t="s">
        <v>527</v>
      </c>
      <c r="I91" t="s">
        <v>36</v>
      </c>
      <c r="J91">
        <v>4379.8999999999996</v>
      </c>
      <c r="K91">
        <v>3</v>
      </c>
      <c r="L91">
        <v>1</v>
      </c>
      <c r="M91" t="s">
        <v>53</v>
      </c>
      <c r="N91">
        <v>1960</v>
      </c>
      <c r="T91">
        <v>1</v>
      </c>
      <c r="U91">
        <v>51.553485999999999</v>
      </c>
      <c r="V91">
        <v>46.000157000000002</v>
      </c>
      <c r="W91" t="s">
        <v>528</v>
      </c>
      <c r="X91">
        <v>4.5</v>
      </c>
      <c r="Y91">
        <v>3.6</v>
      </c>
      <c r="Z91" t="s">
        <v>529</v>
      </c>
      <c r="AA91" t="s">
        <v>530</v>
      </c>
      <c r="AB91" t="s">
        <v>531</v>
      </c>
      <c r="AC91" t="s">
        <v>532</v>
      </c>
      <c r="AD91" t="s">
        <v>534</v>
      </c>
      <c r="AE91" t="s">
        <v>535</v>
      </c>
      <c r="AF91" t="s">
        <v>536</v>
      </c>
      <c r="AG91" t="s">
        <v>537</v>
      </c>
      <c r="AH91" t="s">
        <v>538</v>
      </c>
      <c r="AI91" t="s">
        <v>49</v>
      </c>
      <c r="AJ91">
        <v>51.41</v>
      </c>
    </row>
    <row r="92" spans="1:36" x14ac:dyDescent="0.3">
      <c r="A92">
        <v>40</v>
      </c>
      <c r="B92" t="s">
        <v>1465</v>
      </c>
      <c r="C92">
        <v>874</v>
      </c>
      <c r="D92" t="s">
        <v>556</v>
      </c>
      <c r="E92" t="s">
        <v>554</v>
      </c>
      <c r="F92" t="s">
        <v>546</v>
      </c>
      <c r="G92" t="s">
        <v>547</v>
      </c>
      <c r="H92" t="s">
        <v>548</v>
      </c>
      <c r="I92" t="s">
        <v>36</v>
      </c>
      <c r="J92">
        <v>7344.7</v>
      </c>
      <c r="K92">
        <v>3</v>
      </c>
      <c r="L92">
        <v>1</v>
      </c>
      <c r="M92" t="s">
        <v>37</v>
      </c>
      <c r="N92">
        <v>1980</v>
      </c>
      <c r="T92">
        <v>1</v>
      </c>
      <c r="U92">
        <v>51.562972000000002</v>
      </c>
      <c r="V92">
        <v>45.999420000000001</v>
      </c>
      <c r="W92" t="s">
        <v>549</v>
      </c>
      <c r="X92">
        <v>4.0999999999999996</v>
      </c>
      <c r="Y92">
        <v>4</v>
      </c>
      <c r="Z92" t="s">
        <v>550</v>
      </c>
      <c r="AA92" t="s">
        <v>551</v>
      </c>
      <c r="AB92" t="s">
        <v>552</v>
      </c>
      <c r="AC92" t="s">
        <v>553</v>
      </c>
      <c r="AD92" t="s">
        <v>555</v>
      </c>
      <c r="AE92" t="s">
        <v>556</v>
      </c>
      <c r="AF92" t="s">
        <v>557</v>
      </c>
      <c r="AG92" t="s">
        <v>558</v>
      </c>
      <c r="AH92" t="s">
        <v>107</v>
      </c>
      <c r="AI92" t="s">
        <v>107</v>
      </c>
      <c r="AJ92">
        <v>50.72</v>
      </c>
    </row>
    <row r="93" spans="1:36" x14ac:dyDescent="0.3">
      <c r="A93">
        <v>39</v>
      </c>
      <c r="B93" t="s">
        <v>1457</v>
      </c>
      <c r="C93">
        <v>745</v>
      </c>
      <c r="D93" t="s">
        <v>107</v>
      </c>
      <c r="E93" t="s">
        <v>402</v>
      </c>
      <c r="F93" t="s">
        <v>394</v>
      </c>
      <c r="G93" t="s">
        <v>395</v>
      </c>
      <c r="H93" t="s">
        <v>396</v>
      </c>
      <c r="I93" t="s">
        <v>36</v>
      </c>
      <c r="J93">
        <v>3713.9</v>
      </c>
      <c r="K93">
        <v>3</v>
      </c>
      <c r="L93">
        <v>1</v>
      </c>
      <c r="M93" t="s">
        <v>53</v>
      </c>
      <c r="N93">
        <v>1967</v>
      </c>
      <c r="S93">
        <v>1</v>
      </c>
      <c r="T93">
        <v>1</v>
      </c>
      <c r="U93">
        <v>51.538491999999998</v>
      </c>
      <c r="V93">
        <v>46.003425999999997</v>
      </c>
      <c r="W93" t="s">
        <v>397</v>
      </c>
      <c r="X93">
        <v>4</v>
      </c>
      <c r="Y93">
        <v>4.0999999999999996</v>
      </c>
      <c r="Z93" t="s">
        <v>398</v>
      </c>
      <c r="AA93" t="s">
        <v>399</v>
      </c>
      <c r="AB93" t="s">
        <v>400</v>
      </c>
      <c r="AC93" t="s">
        <v>401</v>
      </c>
      <c r="AD93" t="s">
        <v>403</v>
      </c>
      <c r="AE93" t="s">
        <v>404</v>
      </c>
      <c r="AF93" t="s">
        <v>107</v>
      </c>
      <c r="AG93" t="s">
        <v>405</v>
      </c>
      <c r="AH93" t="s">
        <v>406</v>
      </c>
      <c r="AI93" t="s">
        <v>49</v>
      </c>
      <c r="AJ93">
        <v>54.91</v>
      </c>
    </row>
    <row r="94" spans="1:36" x14ac:dyDescent="0.3">
      <c r="A94">
        <v>38</v>
      </c>
      <c r="B94" t="s">
        <v>1460</v>
      </c>
      <c r="C94">
        <v>402</v>
      </c>
      <c r="D94" t="s">
        <v>107</v>
      </c>
      <c r="E94" t="s">
        <v>486</v>
      </c>
      <c r="F94" t="s">
        <v>478</v>
      </c>
      <c r="G94" t="s">
        <v>479</v>
      </c>
      <c r="H94" t="s">
        <v>480</v>
      </c>
      <c r="I94" t="s">
        <v>36</v>
      </c>
      <c r="J94">
        <v>18049.400000000001</v>
      </c>
      <c r="K94">
        <v>3</v>
      </c>
      <c r="L94">
        <v>1</v>
      </c>
      <c r="M94" t="s">
        <v>53</v>
      </c>
      <c r="N94">
        <v>2022</v>
      </c>
      <c r="P94">
        <v>825</v>
      </c>
      <c r="T94">
        <v>1</v>
      </c>
      <c r="U94">
        <v>51.586336000000003</v>
      </c>
      <c r="V94">
        <v>46.130664000000003</v>
      </c>
      <c r="W94" t="s">
        <v>481</v>
      </c>
      <c r="X94">
        <v>4.9000000000000004</v>
      </c>
      <c r="Y94">
        <v>4</v>
      </c>
      <c r="Z94" t="s">
        <v>482</v>
      </c>
      <c r="AA94" t="s">
        <v>483</v>
      </c>
      <c r="AB94" t="s">
        <v>484</v>
      </c>
      <c r="AC94" t="s">
        <v>485</v>
      </c>
      <c r="AD94" t="s">
        <v>107</v>
      </c>
      <c r="AE94" t="s">
        <v>107</v>
      </c>
      <c r="AF94" t="s">
        <v>107</v>
      </c>
      <c r="AG94" t="s">
        <v>107</v>
      </c>
      <c r="AH94" t="s">
        <v>487</v>
      </c>
      <c r="AI94" t="s">
        <v>488</v>
      </c>
      <c r="AJ94">
        <v>53.75</v>
      </c>
    </row>
    <row r="95" spans="1:36" x14ac:dyDescent="0.3">
      <c r="A95">
        <v>37</v>
      </c>
      <c r="B95" t="s">
        <v>1441</v>
      </c>
      <c r="C95">
        <v>1825</v>
      </c>
      <c r="D95" t="s">
        <v>91</v>
      </c>
      <c r="E95" t="s">
        <v>89</v>
      </c>
      <c r="F95" t="s">
        <v>80</v>
      </c>
      <c r="G95" t="s">
        <v>81</v>
      </c>
      <c r="H95" t="s">
        <v>82</v>
      </c>
      <c r="I95" t="s">
        <v>83</v>
      </c>
      <c r="J95">
        <v>23075.5</v>
      </c>
      <c r="K95">
        <v>3</v>
      </c>
      <c r="L95">
        <v>1</v>
      </c>
      <c r="M95" t="s">
        <v>53</v>
      </c>
      <c r="N95">
        <v>1991</v>
      </c>
      <c r="O95">
        <v>2024</v>
      </c>
      <c r="Q95">
        <v>1</v>
      </c>
      <c r="T95">
        <v>1</v>
      </c>
      <c r="U95">
        <v>51.573833</v>
      </c>
      <c r="V95">
        <v>46.067197999999998</v>
      </c>
      <c r="W95" t="s">
        <v>84</v>
      </c>
      <c r="X95">
        <v>4.4000000000000004</v>
      </c>
      <c r="Y95">
        <v>4.0999999999999996</v>
      </c>
      <c r="Z95" t="s">
        <v>85</v>
      </c>
      <c r="AA95" t="s">
        <v>86</v>
      </c>
      <c r="AB95" t="s">
        <v>87</v>
      </c>
      <c r="AC95" t="s">
        <v>88</v>
      </c>
      <c r="AD95" t="s">
        <v>90</v>
      </c>
      <c r="AE95" t="s">
        <v>91</v>
      </c>
      <c r="AF95" t="s">
        <v>92</v>
      </c>
      <c r="AG95" t="s">
        <v>93</v>
      </c>
      <c r="AH95" t="s">
        <v>94</v>
      </c>
      <c r="AI95" t="s">
        <v>95</v>
      </c>
      <c r="AJ95">
        <v>71.55</v>
      </c>
    </row>
    <row r="96" spans="1:36" x14ac:dyDescent="0.3">
      <c r="A96">
        <v>36</v>
      </c>
      <c r="B96" s="2" t="s">
        <v>1490</v>
      </c>
      <c r="C96">
        <v>550</v>
      </c>
      <c r="D96" t="s">
        <v>107</v>
      </c>
      <c r="E96" t="s">
        <v>1097</v>
      </c>
      <c r="F96" t="s">
        <v>1089</v>
      </c>
      <c r="G96" t="s">
        <v>1090</v>
      </c>
      <c r="H96" t="s">
        <v>1091</v>
      </c>
      <c r="I96" t="s">
        <v>36</v>
      </c>
      <c r="J96">
        <v>4289.8999999999996</v>
      </c>
      <c r="K96">
        <v>3</v>
      </c>
      <c r="M96" t="s">
        <v>53</v>
      </c>
      <c r="N96">
        <v>1965</v>
      </c>
      <c r="T96">
        <v>1</v>
      </c>
      <c r="U96">
        <v>51.586391999999996</v>
      </c>
      <c r="V96">
        <v>46.031264999999998</v>
      </c>
      <c r="W96" t="s">
        <v>1092</v>
      </c>
      <c r="X96">
        <v>3.7</v>
      </c>
      <c r="Y96">
        <v>3.9</v>
      </c>
      <c r="Z96" t="s">
        <v>1093</v>
      </c>
      <c r="AA96" t="s">
        <v>1094</v>
      </c>
      <c r="AB96" t="s">
        <v>1095</v>
      </c>
      <c r="AC96" t="s">
        <v>1096</v>
      </c>
      <c r="AD96" t="s">
        <v>107</v>
      </c>
      <c r="AE96" t="s">
        <v>107</v>
      </c>
      <c r="AF96" t="s">
        <v>107</v>
      </c>
      <c r="AG96" t="s">
        <v>107</v>
      </c>
      <c r="AH96" t="s">
        <v>1098</v>
      </c>
      <c r="AI96" t="s">
        <v>49</v>
      </c>
      <c r="AJ96">
        <v>38.74</v>
      </c>
    </row>
    <row r="97" spans="1:36" x14ac:dyDescent="0.3">
      <c r="A97">
        <v>35</v>
      </c>
      <c r="B97" t="s">
        <v>1443</v>
      </c>
      <c r="C97" s="3">
        <f t="shared" ref="C97" si="36">J97/19</f>
        <v>87.21052631578948</v>
      </c>
      <c r="D97" t="s">
        <v>149</v>
      </c>
      <c r="E97" t="s">
        <v>147</v>
      </c>
      <c r="F97" t="s">
        <v>859</v>
      </c>
      <c r="G97" t="s">
        <v>860</v>
      </c>
      <c r="H97" t="s">
        <v>971</v>
      </c>
      <c r="I97" t="s">
        <v>36</v>
      </c>
      <c r="J97">
        <v>1657</v>
      </c>
      <c r="K97">
        <v>3</v>
      </c>
      <c r="L97">
        <v>1</v>
      </c>
      <c r="M97" t="s">
        <v>53</v>
      </c>
      <c r="N97">
        <v>1950</v>
      </c>
      <c r="U97">
        <v>51.526406999999999</v>
      </c>
      <c r="V97">
        <v>46.034176000000002</v>
      </c>
      <c r="W97" t="s">
        <v>972</v>
      </c>
      <c r="X97">
        <v>2.6</v>
      </c>
      <c r="Y97">
        <v>3.9</v>
      </c>
      <c r="Z97" t="s">
        <v>973</v>
      </c>
      <c r="AA97" t="s">
        <v>974</v>
      </c>
      <c r="AB97" t="s">
        <v>975</v>
      </c>
      <c r="AC97" t="s">
        <v>976</v>
      </c>
      <c r="AD97" t="s">
        <v>148</v>
      </c>
      <c r="AE97" t="s">
        <v>149</v>
      </c>
      <c r="AF97" t="s">
        <v>150</v>
      </c>
      <c r="AG97" t="s">
        <v>107</v>
      </c>
      <c r="AH97" t="s">
        <v>151</v>
      </c>
      <c r="AI97" t="s">
        <v>152</v>
      </c>
      <c r="AJ97">
        <v>42.47</v>
      </c>
    </row>
    <row r="98" spans="1:36" x14ac:dyDescent="0.3">
      <c r="A98">
        <v>34</v>
      </c>
      <c r="B98" t="s">
        <v>1443</v>
      </c>
      <c r="C98" s="3">
        <f t="shared" ref="C98" si="37">J98/19</f>
        <v>407.03157894736842</v>
      </c>
      <c r="D98" t="s">
        <v>822</v>
      </c>
      <c r="E98" t="s">
        <v>821</v>
      </c>
      <c r="F98" t="s">
        <v>813</v>
      </c>
      <c r="G98" t="s">
        <v>814</v>
      </c>
      <c r="H98" t="s">
        <v>815</v>
      </c>
      <c r="I98" t="s">
        <v>83</v>
      </c>
      <c r="J98">
        <v>7733.6</v>
      </c>
      <c r="K98">
        <v>3</v>
      </c>
      <c r="L98">
        <v>1</v>
      </c>
      <c r="M98" t="s">
        <v>53</v>
      </c>
      <c r="N98">
        <v>1913</v>
      </c>
      <c r="O98">
        <v>1995</v>
      </c>
      <c r="U98">
        <v>51.531987999999998</v>
      </c>
      <c r="V98">
        <v>46.048791000000001</v>
      </c>
      <c r="W98" t="s">
        <v>816</v>
      </c>
      <c r="X98">
        <v>4.5</v>
      </c>
      <c r="Y98">
        <v>4.0999999999999996</v>
      </c>
      <c r="Z98" t="s">
        <v>817</v>
      </c>
      <c r="AA98" t="s">
        <v>818</v>
      </c>
      <c r="AB98" t="s">
        <v>819</v>
      </c>
      <c r="AC98" t="s">
        <v>820</v>
      </c>
      <c r="AD98" t="s">
        <v>107</v>
      </c>
      <c r="AE98" t="s">
        <v>822</v>
      </c>
      <c r="AF98" t="s">
        <v>823</v>
      </c>
      <c r="AG98" t="s">
        <v>107</v>
      </c>
      <c r="AH98" t="s">
        <v>824</v>
      </c>
      <c r="AI98" t="s">
        <v>95</v>
      </c>
      <c r="AJ98">
        <v>45.96</v>
      </c>
    </row>
    <row r="99" spans="1:36" x14ac:dyDescent="0.3">
      <c r="A99">
        <v>32</v>
      </c>
      <c r="B99" t="s">
        <v>1480</v>
      </c>
      <c r="C99">
        <v>1127</v>
      </c>
      <c r="D99" t="s">
        <v>107</v>
      </c>
      <c r="E99" t="s">
        <v>897</v>
      </c>
      <c r="F99" t="s">
        <v>889</v>
      </c>
      <c r="G99" t="s">
        <v>890</v>
      </c>
      <c r="H99" t="s">
        <v>891</v>
      </c>
      <c r="I99" t="s">
        <v>36</v>
      </c>
      <c r="J99">
        <v>7418.1</v>
      </c>
      <c r="K99">
        <v>3</v>
      </c>
      <c r="L99">
        <v>1</v>
      </c>
      <c r="M99" t="s">
        <v>53</v>
      </c>
      <c r="N99">
        <v>1877</v>
      </c>
      <c r="T99">
        <v>1</v>
      </c>
      <c r="U99">
        <v>51.525745999999998</v>
      </c>
      <c r="V99">
        <v>46.025184000000003</v>
      </c>
      <c r="W99" t="s">
        <v>892</v>
      </c>
      <c r="X99">
        <v>3.9</v>
      </c>
      <c r="Y99">
        <v>4.3</v>
      </c>
      <c r="Z99" t="s">
        <v>893</v>
      </c>
      <c r="AA99" t="s">
        <v>894</v>
      </c>
      <c r="AB99" t="s">
        <v>895</v>
      </c>
      <c r="AC99" t="s">
        <v>896</v>
      </c>
      <c r="AD99" t="s">
        <v>898</v>
      </c>
      <c r="AE99" t="s">
        <v>107</v>
      </c>
      <c r="AF99" t="s">
        <v>107</v>
      </c>
      <c r="AG99" t="s">
        <v>899</v>
      </c>
      <c r="AH99" t="s">
        <v>107</v>
      </c>
      <c r="AI99" t="s">
        <v>107</v>
      </c>
      <c r="AJ99">
        <v>44.48</v>
      </c>
    </row>
    <row r="100" spans="1:36" x14ac:dyDescent="0.3">
      <c r="A100">
        <v>31</v>
      </c>
      <c r="B100" t="s">
        <v>1498</v>
      </c>
      <c r="C100">
        <v>355</v>
      </c>
      <c r="D100" t="s">
        <v>107</v>
      </c>
      <c r="E100" t="s">
        <v>1315</v>
      </c>
      <c r="F100" t="s">
        <v>1307</v>
      </c>
      <c r="G100" t="s">
        <v>1308</v>
      </c>
      <c r="H100" t="s">
        <v>1309</v>
      </c>
      <c r="I100" t="s">
        <v>36</v>
      </c>
      <c r="J100">
        <v>1449.6</v>
      </c>
      <c r="K100">
        <v>2</v>
      </c>
      <c r="M100" t="s">
        <v>156</v>
      </c>
      <c r="N100">
        <v>1937</v>
      </c>
      <c r="T100">
        <v>1</v>
      </c>
      <c r="U100">
        <v>51.559393999999998</v>
      </c>
      <c r="V100">
        <v>45.991497000000003</v>
      </c>
      <c r="W100" t="s">
        <v>1310</v>
      </c>
      <c r="X100">
        <v>3.4</v>
      </c>
      <c r="Y100">
        <v>3.7</v>
      </c>
      <c r="Z100" t="s">
        <v>1311</v>
      </c>
      <c r="AA100" t="s">
        <v>1312</v>
      </c>
      <c r="AB100" t="s">
        <v>1313</v>
      </c>
      <c r="AC100" t="s">
        <v>1314</v>
      </c>
      <c r="AD100" t="s">
        <v>107</v>
      </c>
      <c r="AE100" t="s">
        <v>107</v>
      </c>
      <c r="AF100" t="s">
        <v>107</v>
      </c>
      <c r="AG100" t="s">
        <v>1316</v>
      </c>
      <c r="AH100" t="s">
        <v>1317</v>
      </c>
      <c r="AI100" t="s">
        <v>1318</v>
      </c>
      <c r="AJ100">
        <v>32.54</v>
      </c>
    </row>
    <row r="101" spans="1:36" x14ac:dyDescent="0.3">
      <c r="A101">
        <v>30</v>
      </c>
      <c r="B101" t="s">
        <v>1443</v>
      </c>
      <c r="C101" s="3">
        <f t="shared" ref="C101:C103" si="38">J101/19</f>
        <v>280.12631578947367</v>
      </c>
      <c r="D101" t="s">
        <v>107</v>
      </c>
      <c r="E101" t="s">
        <v>1043</v>
      </c>
      <c r="F101" t="s">
        <v>1035</v>
      </c>
      <c r="G101" t="s">
        <v>1036</v>
      </c>
      <c r="H101" t="s">
        <v>1037</v>
      </c>
      <c r="I101" t="s">
        <v>36</v>
      </c>
      <c r="J101">
        <v>5322.4</v>
      </c>
      <c r="K101">
        <v>3</v>
      </c>
      <c r="L101">
        <v>1</v>
      </c>
      <c r="M101" t="s">
        <v>156</v>
      </c>
      <c r="N101">
        <v>1986</v>
      </c>
      <c r="T101">
        <v>1</v>
      </c>
      <c r="U101">
        <v>51.495638999999997</v>
      </c>
      <c r="V101">
        <v>45.938612999999997</v>
      </c>
      <c r="W101" t="s">
        <v>1038</v>
      </c>
      <c r="X101">
        <v>3.1</v>
      </c>
      <c r="Y101">
        <v>4</v>
      </c>
      <c r="Z101" t="s">
        <v>1039</v>
      </c>
      <c r="AA101" t="s">
        <v>1040</v>
      </c>
      <c r="AB101" t="s">
        <v>1041</v>
      </c>
      <c r="AC101" t="s">
        <v>1042</v>
      </c>
      <c r="AD101" t="s">
        <v>1044</v>
      </c>
      <c r="AE101" t="s">
        <v>1045</v>
      </c>
      <c r="AF101" t="s">
        <v>1046</v>
      </c>
      <c r="AG101" t="s">
        <v>107</v>
      </c>
      <c r="AH101" t="s">
        <v>1047</v>
      </c>
      <c r="AI101" t="s">
        <v>1048</v>
      </c>
      <c r="AJ101">
        <v>39.909999999999997</v>
      </c>
    </row>
    <row r="102" spans="1:36" x14ac:dyDescent="0.3">
      <c r="A102">
        <v>29</v>
      </c>
      <c r="B102" t="s">
        <v>1443</v>
      </c>
      <c r="C102" s="3">
        <f t="shared" si="38"/>
        <v>183.4</v>
      </c>
      <c r="D102" t="s">
        <v>107</v>
      </c>
      <c r="E102" t="s">
        <v>1113</v>
      </c>
      <c r="F102" t="s">
        <v>1105</v>
      </c>
      <c r="G102" t="s">
        <v>1106</v>
      </c>
      <c r="H102" t="s">
        <v>1107</v>
      </c>
      <c r="I102" t="s">
        <v>36</v>
      </c>
      <c r="J102">
        <v>3484.6</v>
      </c>
      <c r="K102">
        <v>3</v>
      </c>
      <c r="M102" t="s">
        <v>156</v>
      </c>
      <c r="N102">
        <v>1939</v>
      </c>
      <c r="T102">
        <v>1</v>
      </c>
      <c r="U102">
        <v>51.511875000000003</v>
      </c>
      <c r="V102">
        <v>45.944048000000002</v>
      </c>
      <c r="W102" t="s">
        <v>1108</v>
      </c>
      <c r="X102">
        <v>4.7</v>
      </c>
      <c r="Y102">
        <v>4</v>
      </c>
      <c r="Z102" t="s">
        <v>1109</v>
      </c>
      <c r="AA102" t="s">
        <v>1110</v>
      </c>
      <c r="AB102" t="s">
        <v>1111</v>
      </c>
      <c r="AC102" t="s">
        <v>1112</v>
      </c>
      <c r="AD102" t="s">
        <v>107</v>
      </c>
      <c r="AE102" t="s">
        <v>107</v>
      </c>
      <c r="AF102" t="s">
        <v>107</v>
      </c>
      <c r="AG102" t="s">
        <v>107</v>
      </c>
      <c r="AH102" t="s">
        <v>1114</v>
      </c>
      <c r="AI102" t="s">
        <v>49</v>
      </c>
      <c r="AJ102">
        <v>38.159999999999997</v>
      </c>
    </row>
    <row r="103" spans="1:36" x14ac:dyDescent="0.3">
      <c r="A103">
        <v>28</v>
      </c>
      <c r="B103" t="s">
        <v>1443</v>
      </c>
      <c r="C103" s="3">
        <f t="shared" si="38"/>
        <v>417.80526315789473</v>
      </c>
      <c r="D103" t="s">
        <v>107</v>
      </c>
      <c r="E103" t="s">
        <v>711</v>
      </c>
      <c r="F103" t="s">
        <v>703</v>
      </c>
      <c r="G103" t="s">
        <v>704</v>
      </c>
      <c r="H103" t="s">
        <v>705</v>
      </c>
      <c r="I103" t="s">
        <v>36</v>
      </c>
      <c r="J103">
        <v>7938.3</v>
      </c>
      <c r="K103">
        <v>3</v>
      </c>
      <c r="L103">
        <v>1</v>
      </c>
      <c r="M103" t="s">
        <v>53</v>
      </c>
      <c r="N103">
        <v>1949</v>
      </c>
      <c r="S103">
        <v>1</v>
      </c>
      <c r="U103">
        <v>51.588853999999998</v>
      </c>
      <c r="V103">
        <v>45.935710999999998</v>
      </c>
      <c r="W103" t="s">
        <v>706</v>
      </c>
      <c r="X103">
        <v>2.6</v>
      </c>
      <c r="Y103">
        <v>3.7</v>
      </c>
      <c r="Z103" t="s">
        <v>707</v>
      </c>
      <c r="AA103" t="s">
        <v>708</v>
      </c>
      <c r="AB103" t="s">
        <v>709</v>
      </c>
      <c r="AC103" t="s">
        <v>710</v>
      </c>
      <c r="AD103" t="s">
        <v>712</v>
      </c>
      <c r="AE103" t="s">
        <v>107</v>
      </c>
      <c r="AF103" t="s">
        <v>107</v>
      </c>
      <c r="AG103" t="s">
        <v>107</v>
      </c>
      <c r="AH103" t="s">
        <v>713</v>
      </c>
      <c r="AI103" t="s">
        <v>138</v>
      </c>
      <c r="AJ103">
        <v>48.19</v>
      </c>
    </row>
    <row r="104" spans="1:36" x14ac:dyDescent="0.3">
      <c r="A104">
        <v>27</v>
      </c>
      <c r="B104" t="s">
        <v>1449</v>
      </c>
      <c r="C104">
        <v>900</v>
      </c>
      <c r="D104" t="s">
        <v>248</v>
      </c>
      <c r="E104" t="s">
        <v>246</v>
      </c>
      <c r="F104" t="s">
        <v>238</v>
      </c>
      <c r="G104" t="s">
        <v>239</v>
      </c>
      <c r="H104" t="s">
        <v>240</v>
      </c>
      <c r="I104" t="s">
        <v>36</v>
      </c>
      <c r="J104">
        <v>4306.8</v>
      </c>
      <c r="K104">
        <v>3</v>
      </c>
      <c r="N104">
        <v>1962</v>
      </c>
      <c r="T104">
        <v>1</v>
      </c>
      <c r="U104">
        <v>51.515171000000002</v>
      </c>
      <c r="V104">
        <v>45.964916000000002</v>
      </c>
      <c r="W104" t="s">
        <v>241</v>
      </c>
      <c r="X104">
        <v>4.0999999999999996</v>
      </c>
      <c r="Y104">
        <v>3.8</v>
      </c>
      <c r="Z104" t="s">
        <v>242</v>
      </c>
      <c r="AA104" t="s">
        <v>243</v>
      </c>
      <c r="AB104" t="s">
        <v>244</v>
      </c>
      <c r="AC104" t="s">
        <v>245</v>
      </c>
      <c r="AD104" t="s">
        <v>247</v>
      </c>
      <c r="AE104" t="s">
        <v>248</v>
      </c>
      <c r="AF104" t="s">
        <v>249</v>
      </c>
      <c r="AG104" t="s">
        <v>215</v>
      </c>
      <c r="AH104" t="s">
        <v>250</v>
      </c>
      <c r="AI104" t="s">
        <v>79</v>
      </c>
      <c r="AJ104">
        <v>60.45</v>
      </c>
    </row>
    <row r="105" spans="1:36" x14ac:dyDescent="0.3">
      <c r="A105">
        <v>26</v>
      </c>
      <c r="B105" t="s">
        <v>1497</v>
      </c>
      <c r="C105">
        <v>1044</v>
      </c>
      <c r="D105" t="s">
        <v>107</v>
      </c>
      <c r="E105" t="s">
        <v>1294</v>
      </c>
      <c r="F105" t="s">
        <v>1286</v>
      </c>
      <c r="G105" t="s">
        <v>1287</v>
      </c>
      <c r="H105" t="s">
        <v>1288</v>
      </c>
      <c r="I105" t="s">
        <v>36</v>
      </c>
      <c r="J105">
        <v>4571.8</v>
      </c>
      <c r="K105">
        <v>3</v>
      </c>
      <c r="N105">
        <v>1963</v>
      </c>
      <c r="U105">
        <v>51.591126000000003</v>
      </c>
      <c r="V105">
        <v>45.930286000000002</v>
      </c>
      <c r="W105" t="s">
        <v>1289</v>
      </c>
      <c r="X105">
        <v>4.5999999999999996</v>
      </c>
      <c r="Y105">
        <v>4.2</v>
      </c>
      <c r="Z105" t="s">
        <v>1290</v>
      </c>
      <c r="AA105" t="s">
        <v>1291</v>
      </c>
      <c r="AB105" t="s">
        <v>1292</v>
      </c>
      <c r="AC105" t="s">
        <v>1293</v>
      </c>
      <c r="AD105" t="s">
        <v>107</v>
      </c>
      <c r="AE105" t="s">
        <v>107</v>
      </c>
      <c r="AF105" t="s">
        <v>107</v>
      </c>
      <c r="AG105" t="s">
        <v>107</v>
      </c>
      <c r="AH105" t="s">
        <v>107</v>
      </c>
      <c r="AI105" t="s">
        <v>107</v>
      </c>
      <c r="AJ105">
        <v>32.78</v>
      </c>
    </row>
    <row r="106" spans="1:36" x14ac:dyDescent="0.3">
      <c r="A106">
        <v>25</v>
      </c>
      <c r="B106" t="s">
        <v>1481</v>
      </c>
      <c r="C106">
        <v>698</v>
      </c>
      <c r="D106" t="s">
        <v>581</v>
      </c>
      <c r="E106" t="s">
        <v>580</v>
      </c>
      <c r="F106" t="s">
        <v>931</v>
      </c>
      <c r="G106" t="s">
        <v>932</v>
      </c>
      <c r="H106" t="s">
        <v>933</v>
      </c>
      <c r="I106" t="s">
        <v>36</v>
      </c>
      <c r="J106">
        <v>5186.6000000000004</v>
      </c>
      <c r="K106">
        <v>3</v>
      </c>
      <c r="L106">
        <v>1</v>
      </c>
      <c r="N106">
        <v>1972</v>
      </c>
      <c r="T106">
        <v>1</v>
      </c>
      <c r="U106">
        <v>51.587916999999997</v>
      </c>
      <c r="V106">
        <v>45.985661</v>
      </c>
      <c r="W106" t="s">
        <v>934</v>
      </c>
      <c r="X106">
        <v>4.9000000000000004</v>
      </c>
      <c r="Y106">
        <v>3.7</v>
      </c>
      <c r="Z106" t="s">
        <v>935</v>
      </c>
      <c r="AA106" t="s">
        <v>936</v>
      </c>
      <c r="AB106" t="s">
        <v>937</v>
      </c>
      <c r="AC106" t="s">
        <v>938</v>
      </c>
      <c r="AD106" t="s">
        <v>148</v>
      </c>
      <c r="AE106" t="s">
        <v>581</v>
      </c>
      <c r="AF106" t="s">
        <v>582</v>
      </c>
      <c r="AG106" t="s">
        <v>583</v>
      </c>
      <c r="AH106" t="s">
        <v>584</v>
      </c>
      <c r="AI106" t="s">
        <v>79</v>
      </c>
      <c r="AJ106">
        <v>43.66</v>
      </c>
    </row>
    <row r="107" spans="1:36" x14ac:dyDescent="0.3">
      <c r="A107">
        <v>24</v>
      </c>
      <c r="B107" t="s">
        <v>1446</v>
      </c>
      <c r="C107">
        <v>1163</v>
      </c>
      <c r="D107" t="s">
        <v>201</v>
      </c>
      <c r="E107" t="s">
        <v>200</v>
      </c>
      <c r="F107" t="s">
        <v>192</v>
      </c>
      <c r="G107" t="s">
        <v>193</v>
      </c>
      <c r="H107" t="s">
        <v>194</v>
      </c>
      <c r="I107" t="s">
        <v>83</v>
      </c>
      <c r="J107">
        <v>12010.9</v>
      </c>
      <c r="K107">
        <v>3</v>
      </c>
      <c r="L107">
        <v>1</v>
      </c>
      <c r="M107" t="s">
        <v>156</v>
      </c>
      <c r="N107">
        <v>1954</v>
      </c>
      <c r="O107">
        <v>2022</v>
      </c>
      <c r="R107">
        <v>1</v>
      </c>
      <c r="T107">
        <v>1</v>
      </c>
      <c r="U107">
        <v>51.469771000000001</v>
      </c>
      <c r="V107">
        <v>45.922038999999998</v>
      </c>
      <c r="W107" t="s">
        <v>195</v>
      </c>
      <c r="X107">
        <v>3.6</v>
      </c>
      <c r="Y107">
        <v>4.3</v>
      </c>
      <c r="Z107" t="s">
        <v>196</v>
      </c>
      <c r="AA107" t="s">
        <v>197</v>
      </c>
      <c r="AB107" t="s">
        <v>198</v>
      </c>
      <c r="AC107" t="s">
        <v>199</v>
      </c>
      <c r="AD107" t="s">
        <v>148</v>
      </c>
      <c r="AE107" t="s">
        <v>201</v>
      </c>
      <c r="AF107" t="s">
        <v>202</v>
      </c>
      <c r="AG107" t="s">
        <v>107</v>
      </c>
      <c r="AH107" t="s">
        <v>203</v>
      </c>
      <c r="AI107" t="s">
        <v>79</v>
      </c>
      <c r="AJ107">
        <v>63.85</v>
      </c>
    </row>
    <row r="108" spans="1:36" x14ac:dyDescent="0.3">
      <c r="A108">
        <v>22</v>
      </c>
      <c r="B108" t="s">
        <v>1445</v>
      </c>
      <c r="C108">
        <v>1357</v>
      </c>
      <c r="D108" t="s">
        <v>175</v>
      </c>
      <c r="E108" t="s">
        <v>174</v>
      </c>
      <c r="F108" t="s">
        <v>166</v>
      </c>
      <c r="G108" t="s">
        <v>167</v>
      </c>
      <c r="H108" t="s">
        <v>168</v>
      </c>
      <c r="I108" t="s">
        <v>36</v>
      </c>
      <c r="J108">
        <v>7377.9</v>
      </c>
      <c r="K108">
        <v>3</v>
      </c>
      <c r="L108">
        <v>1</v>
      </c>
      <c r="M108" t="s">
        <v>37</v>
      </c>
      <c r="N108">
        <v>1984</v>
      </c>
      <c r="T108">
        <v>1</v>
      </c>
      <c r="U108">
        <v>51.602728999999997</v>
      </c>
      <c r="V108">
        <v>46.000641999999999</v>
      </c>
      <c r="W108" t="s">
        <v>169</v>
      </c>
      <c r="X108">
        <v>3.7</v>
      </c>
      <c r="Y108">
        <v>4.3</v>
      </c>
      <c r="Z108" t="s">
        <v>170</v>
      </c>
      <c r="AA108" t="s">
        <v>171</v>
      </c>
      <c r="AB108" t="s">
        <v>172</v>
      </c>
      <c r="AC108" t="s">
        <v>173</v>
      </c>
      <c r="AD108" t="s">
        <v>60</v>
      </c>
      <c r="AE108" t="s">
        <v>175</v>
      </c>
      <c r="AF108" t="s">
        <v>176</v>
      </c>
      <c r="AG108" t="s">
        <v>107</v>
      </c>
      <c r="AH108" t="s">
        <v>177</v>
      </c>
      <c r="AI108" t="s">
        <v>178</v>
      </c>
      <c r="AJ108">
        <v>64.08</v>
      </c>
    </row>
    <row r="109" spans="1:36" x14ac:dyDescent="0.3">
      <c r="A109">
        <v>21</v>
      </c>
      <c r="B109" t="s">
        <v>1454</v>
      </c>
      <c r="C109">
        <v>1170</v>
      </c>
      <c r="D109" t="s">
        <v>107</v>
      </c>
      <c r="E109" t="s">
        <v>349</v>
      </c>
      <c r="F109" t="s">
        <v>341</v>
      </c>
      <c r="G109" t="s">
        <v>342</v>
      </c>
      <c r="H109" t="s">
        <v>343</v>
      </c>
      <c r="I109" t="s">
        <v>36</v>
      </c>
      <c r="J109">
        <v>7382.8</v>
      </c>
      <c r="K109">
        <v>3</v>
      </c>
      <c r="L109">
        <v>1</v>
      </c>
      <c r="N109">
        <v>1986</v>
      </c>
      <c r="T109">
        <v>1</v>
      </c>
      <c r="U109">
        <v>51.482140000000001</v>
      </c>
      <c r="V109">
        <v>45.886429999999997</v>
      </c>
      <c r="W109" t="s">
        <v>344</v>
      </c>
      <c r="X109">
        <v>3.6</v>
      </c>
      <c r="Y109">
        <v>4.2</v>
      </c>
      <c r="Z109" t="s">
        <v>345</v>
      </c>
      <c r="AA109" t="s">
        <v>346</v>
      </c>
      <c r="AB109" t="s">
        <v>347</v>
      </c>
      <c r="AC109" t="s">
        <v>348</v>
      </c>
      <c r="AD109" t="s">
        <v>350</v>
      </c>
      <c r="AE109" t="s">
        <v>351</v>
      </c>
      <c r="AF109" t="s">
        <v>352</v>
      </c>
      <c r="AG109" t="s">
        <v>107</v>
      </c>
      <c r="AH109" t="s">
        <v>353</v>
      </c>
      <c r="AI109" t="s">
        <v>79</v>
      </c>
      <c r="AJ109">
        <v>56.34</v>
      </c>
    </row>
    <row r="110" spans="1:36" x14ac:dyDescent="0.3">
      <c r="A110">
        <v>20</v>
      </c>
      <c r="B110" t="s">
        <v>1443</v>
      </c>
      <c r="C110" s="3">
        <f t="shared" ref="C110" si="39">J110/19</f>
        <v>484.60526315789474</v>
      </c>
      <c r="D110" t="s">
        <v>286</v>
      </c>
      <c r="E110" t="s">
        <v>284</v>
      </c>
      <c r="F110" t="s">
        <v>276</v>
      </c>
      <c r="G110" t="s">
        <v>277</v>
      </c>
      <c r="H110" t="s">
        <v>278</v>
      </c>
      <c r="I110" t="s">
        <v>36</v>
      </c>
      <c r="J110">
        <v>9207.5</v>
      </c>
      <c r="K110">
        <v>3</v>
      </c>
      <c r="L110">
        <v>1</v>
      </c>
      <c r="M110" t="s">
        <v>53</v>
      </c>
      <c r="N110">
        <v>1998</v>
      </c>
      <c r="T110">
        <v>1</v>
      </c>
      <c r="U110">
        <v>51.541640000000001</v>
      </c>
      <c r="V110">
        <v>46.023682999999998</v>
      </c>
      <c r="W110" t="s">
        <v>279</v>
      </c>
      <c r="X110">
        <v>3.4</v>
      </c>
      <c r="Y110">
        <v>4.0999999999999996</v>
      </c>
      <c r="Z110" t="s">
        <v>280</v>
      </c>
      <c r="AA110" t="s">
        <v>281</v>
      </c>
      <c r="AB110" t="s">
        <v>282</v>
      </c>
      <c r="AC110" t="s">
        <v>283</v>
      </c>
      <c r="AD110" t="s">
        <v>285</v>
      </c>
      <c r="AE110" t="s">
        <v>286</v>
      </c>
      <c r="AF110" t="s">
        <v>287</v>
      </c>
      <c r="AG110" t="s">
        <v>215</v>
      </c>
      <c r="AH110" t="s">
        <v>288</v>
      </c>
      <c r="AI110" t="s">
        <v>79</v>
      </c>
      <c r="AJ110">
        <v>58.49</v>
      </c>
    </row>
    <row r="111" spans="1:36" s="4" customFormat="1" x14ac:dyDescent="0.3">
      <c r="A111" s="4">
        <v>19</v>
      </c>
      <c r="B111" s="4" t="s">
        <v>1499</v>
      </c>
      <c r="C111" s="4">
        <v>573</v>
      </c>
      <c r="D111" s="4" t="s">
        <v>107</v>
      </c>
      <c r="E111" s="4" t="s">
        <v>107</v>
      </c>
      <c r="F111" s="4" t="s">
        <v>1327</v>
      </c>
      <c r="G111" s="4" t="s">
        <v>1328</v>
      </c>
      <c r="H111" s="4" t="s">
        <v>1329</v>
      </c>
      <c r="I111" s="4" t="s">
        <v>791</v>
      </c>
      <c r="J111" s="4">
        <v>1100</v>
      </c>
      <c r="K111" s="4">
        <v>2</v>
      </c>
      <c r="M111" s="4" t="s">
        <v>53</v>
      </c>
      <c r="N111" s="4">
        <v>1960</v>
      </c>
      <c r="S111" s="4">
        <v>1</v>
      </c>
      <c r="U111" s="4">
        <v>51.530608000000001</v>
      </c>
      <c r="V111" s="4">
        <v>46.016278</v>
      </c>
      <c r="W111" s="4" t="s">
        <v>1330</v>
      </c>
      <c r="Y111" s="4">
        <v>4.0999999999999996</v>
      </c>
      <c r="Z111" s="4" t="s">
        <v>1331</v>
      </c>
      <c r="AA111" s="4" t="s">
        <v>1332</v>
      </c>
      <c r="AD111" s="4" t="s">
        <v>107</v>
      </c>
      <c r="AE111" s="4" t="s">
        <v>107</v>
      </c>
      <c r="AF111" t="s">
        <v>236</v>
      </c>
      <c r="AG111" s="4" t="s">
        <v>107</v>
      </c>
      <c r="AH111" s="4" t="s">
        <v>107</v>
      </c>
      <c r="AI111" s="4" t="s">
        <v>107</v>
      </c>
      <c r="AJ111" s="4">
        <v>32.450000000000003</v>
      </c>
    </row>
    <row r="112" spans="1:36" x14ac:dyDescent="0.3">
      <c r="A112">
        <v>18</v>
      </c>
      <c r="B112" t="s">
        <v>1443</v>
      </c>
      <c r="C112" s="3">
        <f t="shared" ref="C112:C114" si="40">J112/19</f>
        <v>394.2315789473684</v>
      </c>
      <c r="D112" t="s">
        <v>107</v>
      </c>
      <c r="E112" t="s">
        <v>43</v>
      </c>
      <c r="F112" t="s">
        <v>33</v>
      </c>
      <c r="G112" t="s">
        <v>34</v>
      </c>
      <c r="H112" t="s">
        <v>35</v>
      </c>
      <c r="I112" t="s">
        <v>36</v>
      </c>
      <c r="J112">
        <v>7490.4</v>
      </c>
      <c r="K112">
        <v>3</v>
      </c>
      <c r="L112">
        <v>1</v>
      </c>
      <c r="M112" t="s">
        <v>37</v>
      </c>
      <c r="N112">
        <v>1983</v>
      </c>
      <c r="T112">
        <v>1</v>
      </c>
      <c r="U112">
        <v>51.569214000000002</v>
      </c>
      <c r="V112">
        <v>46.005231999999999</v>
      </c>
      <c r="W112" t="s">
        <v>38</v>
      </c>
      <c r="X112">
        <v>3.1</v>
      </c>
      <c r="Y112">
        <v>4.0999999999999996</v>
      </c>
      <c r="Z112" t="s">
        <v>39</v>
      </c>
      <c r="AA112" t="s">
        <v>40</v>
      </c>
      <c r="AB112" t="s">
        <v>41</v>
      </c>
      <c r="AC112" t="s">
        <v>42</v>
      </c>
      <c r="AD112" t="s">
        <v>44</v>
      </c>
      <c r="AE112" t="s">
        <v>45</v>
      </c>
      <c r="AF112" t="s">
        <v>46</v>
      </c>
      <c r="AG112" t="s">
        <v>47</v>
      </c>
      <c r="AH112" t="s">
        <v>48</v>
      </c>
      <c r="AI112" t="s">
        <v>49</v>
      </c>
      <c r="AJ112">
        <v>78.38</v>
      </c>
    </row>
    <row r="113" spans="1:37" x14ac:dyDescent="0.3">
      <c r="A113">
        <v>17</v>
      </c>
      <c r="B113" t="s">
        <v>1443</v>
      </c>
      <c r="C113" s="3">
        <f t="shared" si="40"/>
        <v>190.05789473684209</v>
      </c>
      <c r="D113" t="s">
        <v>1010</v>
      </c>
      <c r="E113" t="s">
        <v>1009</v>
      </c>
      <c r="F113" t="s">
        <v>1001</v>
      </c>
      <c r="G113" t="s">
        <v>1002</v>
      </c>
      <c r="H113" t="s">
        <v>1003</v>
      </c>
      <c r="I113" t="s">
        <v>36</v>
      </c>
      <c r="J113">
        <v>3611.1</v>
      </c>
      <c r="K113">
        <v>3</v>
      </c>
      <c r="L113">
        <v>1</v>
      </c>
      <c r="M113" t="s">
        <v>53</v>
      </c>
      <c r="N113">
        <v>1908</v>
      </c>
      <c r="T113">
        <v>1</v>
      </c>
      <c r="U113">
        <v>51.536912000000001</v>
      </c>
      <c r="V113">
        <v>46.001513000000003</v>
      </c>
      <c r="W113" t="s">
        <v>1004</v>
      </c>
      <c r="X113">
        <v>4.8</v>
      </c>
      <c r="Y113">
        <v>4.2</v>
      </c>
      <c r="Z113" t="s">
        <v>1005</v>
      </c>
      <c r="AA113" t="s">
        <v>1006</v>
      </c>
      <c r="AB113" t="s">
        <v>1007</v>
      </c>
      <c r="AC113" t="s">
        <v>1008</v>
      </c>
      <c r="AD113" t="s">
        <v>107</v>
      </c>
      <c r="AE113" t="s">
        <v>1010</v>
      </c>
      <c r="AF113" t="s">
        <v>1011</v>
      </c>
      <c r="AG113" t="s">
        <v>107</v>
      </c>
      <c r="AH113" t="s">
        <v>1012</v>
      </c>
      <c r="AI113" t="s">
        <v>107</v>
      </c>
      <c r="AJ113">
        <v>41.61</v>
      </c>
      <c r="AK113" t="s">
        <v>1513</v>
      </c>
    </row>
    <row r="114" spans="1:37" x14ac:dyDescent="0.3">
      <c r="A114">
        <v>16</v>
      </c>
      <c r="B114" t="s">
        <v>1443</v>
      </c>
      <c r="C114" s="3">
        <f t="shared" si="40"/>
        <v>232.65263157894734</v>
      </c>
      <c r="D114" t="s">
        <v>450</v>
      </c>
      <c r="E114" t="s">
        <v>449</v>
      </c>
      <c r="F114" t="s">
        <v>441</v>
      </c>
      <c r="G114" t="s">
        <v>442</v>
      </c>
      <c r="H114" t="s">
        <v>443</v>
      </c>
      <c r="I114" t="s">
        <v>36</v>
      </c>
      <c r="J114">
        <v>4420.3999999999996</v>
      </c>
      <c r="K114">
        <v>3</v>
      </c>
      <c r="L114">
        <v>1</v>
      </c>
      <c r="N114">
        <v>1961</v>
      </c>
      <c r="T114">
        <v>1</v>
      </c>
      <c r="U114">
        <v>51.565244999999997</v>
      </c>
      <c r="V114">
        <v>45.981138999999999</v>
      </c>
      <c r="W114" t="s">
        <v>444</v>
      </c>
      <c r="X114">
        <v>3.9</v>
      </c>
      <c r="Y114">
        <v>4.2</v>
      </c>
      <c r="Z114" t="s">
        <v>445</v>
      </c>
      <c r="AA114" t="s">
        <v>446</v>
      </c>
      <c r="AB114" t="s">
        <v>447</v>
      </c>
      <c r="AC114" t="s">
        <v>448</v>
      </c>
      <c r="AD114" t="s">
        <v>247</v>
      </c>
      <c r="AE114" t="s">
        <v>450</v>
      </c>
      <c r="AF114" t="s">
        <v>236</v>
      </c>
      <c r="AG114" t="s">
        <v>451</v>
      </c>
      <c r="AH114" t="s">
        <v>452</v>
      </c>
      <c r="AI114" t="s">
        <v>107</v>
      </c>
      <c r="AJ114">
        <v>54.1</v>
      </c>
    </row>
    <row r="115" spans="1:37" x14ac:dyDescent="0.3">
      <c r="A115">
        <v>15</v>
      </c>
      <c r="B115" t="s">
        <v>1479</v>
      </c>
      <c r="C115">
        <v>1294</v>
      </c>
      <c r="D115" t="s">
        <v>107</v>
      </c>
      <c r="E115" t="s">
        <v>855</v>
      </c>
      <c r="F115" t="s">
        <v>847</v>
      </c>
      <c r="G115" t="s">
        <v>848</v>
      </c>
      <c r="H115" t="s">
        <v>849</v>
      </c>
      <c r="I115" t="s">
        <v>36</v>
      </c>
      <c r="J115">
        <v>5810.8</v>
      </c>
      <c r="K115">
        <v>3</v>
      </c>
      <c r="L115">
        <v>1</v>
      </c>
      <c r="N115">
        <v>1978</v>
      </c>
      <c r="T115">
        <v>1</v>
      </c>
      <c r="U115">
        <v>51.510339000000002</v>
      </c>
      <c r="V115">
        <v>45.953623999999998</v>
      </c>
      <c r="W115" t="s">
        <v>850</v>
      </c>
      <c r="X115">
        <v>2.9</v>
      </c>
      <c r="Y115">
        <v>3.9</v>
      </c>
      <c r="Z115" t="s">
        <v>851</v>
      </c>
      <c r="AA115" t="s">
        <v>852</v>
      </c>
      <c r="AB115" t="s">
        <v>853</v>
      </c>
      <c r="AC115" t="s">
        <v>854</v>
      </c>
      <c r="AD115" t="s">
        <v>107</v>
      </c>
      <c r="AE115" t="s">
        <v>107</v>
      </c>
      <c r="AF115" t="s">
        <v>856</v>
      </c>
      <c r="AG115" t="s">
        <v>857</v>
      </c>
      <c r="AH115" t="s">
        <v>858</v>
      </c>
      <c r="AI115" t="s">
        <v>49</v>
      </c>
      <c r="AJ115">
        <v>45.09</v>
      </c>
    </row>
    <row r="116" spans="1:37" x14ac:dyDescent="0.3">
      <c r="A116">
        <v>14</v>
      </c>
      <c r="B116" t="s">
        <v>1443</v>
      </c>
      <c r="C116" s="3">
        <f t="shared" ref="C116" si="41">J116/19</f>
        <v>82.884210526315783</v>
      </c>
      <c r="D116" t="s">
        <v>1149</v>
      </c>
      <c r="E116" t="s">
        <v>1147</v>
      </c>
      <c r="F116" t="s">
        <v>1139</v>
      </c>
      <c r="G116" t="s">
        <v>1140</v>
      </c>
      <c r="H116" t="s">
        <v>1141</v>
      </c>
      <c r="I116" t="s">
        <v>36</v>
      </c>
      <c r="J116">
        <v>1574.8</v>
      </c>
      <c r="K116">
        <v>3</v>
      </c>
      <c r="L116">
        <v>1</v>
      </c>
      <c r="M116" t="s">
        <v>53</v>
      </c>
      <c r="N116">
        <v>1810</v>
      </c>
      <c r="U116">
        <v>51.528534999999998</v>
      </c>
      <c r="V116">
        <v>46.056655999999997</v>
      </c>
      <c r="W116" t="s">
        <v>1142</v>
      </c>
      <c r="X116">
        <v>5</v>
      </c>
      <c r="Y116">
        <v>4.0999999999999996</v>
      </c>
      <c r="Z116" t="s">
        <v>1143</v>
      </c>
      <c r="AA116" t="s">
        <v>1144</v>
      </c>
      <c r="AB116" t="s">
        <v>1145</v>
      </c>
      <c r="AC116" t="s">
        <v>1146</v>
      </c>
      <c r="AD116" t="s">
        <v>1148</v>
      </c>
      <c r="AE116" t="s">
        <v>1149</v>
      </c>
      <c r="AF116" t="s">
        <v>107</v>
      </c>
      <c r="AG116" t="s">
        <v>107</v>
      </c>
      <c r="AH116" t="s">
        <v>1150</v>
      </c>
      <c r="AI116" t="s">
        <v>107</v>
      </c>
      <c r="AJ116">
        <v>37.29</v>
      </c>
    </row>
    <row r="117" spans="1:37" x14ac:dyDescent="0.3">
      <c r="A117">
        <v>13</v>
      </c>
      <c r="B117" t="s">
        <v>1477</v>
      </c>
      <c r="C117">
        <v>637</v>
      </c>
      <c r="D117" t="s">
        <v>107</v>
      </c>
      <c r="E117" t="s">
        <v>833</v>
      </c>
      <c r="F117" t="s">
        <v>825</v>
      </c>
      <c r="G117" t="s">
        <v>826</v>
      </c>
      <c r="H117" t="s">
        <v>827</v>
      </c>
      <c r="I117" t="s">
        <v>36</v>
      </c>
      <c r="J117">
        <v>4527.8999999999996</v>
      </c>
      <c r="K117">
        <v>3</v>
      </c>
      <c r="L117">
        <v>1</v>
      </c>
      <c r="M117" t="s">
        <v>53</v>
      </c>
      <c r="N117">
        <v>1963</v>
      </c>
      <c r="R117">
        <v>1</v>
      </c>
      <c r="T117">
        <v>1</v>
      </c>
      <c r="U117">
        <v>51.528576000000001</v>
      </c>
      <c r="V117">
        <v>45.964385999999998</v>
      </c>
      <c r="W117" t="s">
        <v>828</v>
      </c>
      <c r="X117">
        <v>5</v>
      </c>
      <c r="Y117">
        <v>4.0999999999999996</v>
      </c>
      <c r="Z117" t="s">
        <v>829</v>
      </c>
      <c r="AA117" t="s">
        <v>830</v>
      </c>
      <c r="AB117" t="s">
        <v>831</v>
      </c>
      <c r="AC117" t="s">
        <v>832</v>
      </c>
      <c r="AD117" t="s">
        <v>107</v>
      </c>
      <c r="AE117" t="s">
        <v>834</v>
      </c>
      <c r="AF117" t="s">
        <v>835</v>
      </c>
      <c r="AG117" t="s">
        <v>215</v>
      </c>
      <c r="AH117" t="s">
        <v>836</v>
      </c>
      <c r="AI117" t="s">
        <v>79</v>
      </c>
      <c r="AJ117">
        <v>45.88</v>
      </c>
    </row>
    <row r="118" spans="1:37" x14ac:dyDescent="0.3">
      <c r="A118">
        <v>12</v>
      </c>
      <c r="B118" t="s">
        <v>1500</v>
      </c>
      <c r="C118">
        <v>851</v>
      </c>
      <c r="D118" t="s">
        <v>107</v>
      </c>
      <c r="E118" t="s">
        <v>1341</v>
      </c>
      <c r="F118" t="s">
        <v>1333</v>
      </c>
      <c r="G118" t="s">
        <v>1334</v>
      </c>
      <c r="H118" t="s">
        <v>1335</v>
      </c>
      <c r="I118" t="s">
        <v>36</v>
      </c>
      <c r="J118">
        <v>3476.5</v>
      </c>
      <c r="K118">
        <v>3</v>
      </c>
      <c r="L118">
        <v>1</v>
      </c>
      <c r="N118">
        <v>1951</v>
      </c>
      <c r="T118">
        <v>1</v>
      </c>
      <c r="U118">
        <v>51.569555999999999</v>
      </c>
      <c r="V118">
        <v>45.982244000000001</v>
      </c>
      <c r="W118" t="s">
        <v>1336</v>
      </c>
      <c r="X118">
        <v>3.3</v>
      </c>
      <c r="Y118">
        <v>4.0999999999999996</v>
      </c>
      <c r="Z118" t="s">
        <v>1337</v>
      </c>
      <c r="AA118" t="s">
        <v>1338</v>
      </c>
      <c r="AB118" t="s">
        <v>1339</v>
      </c>
      <c r="AC118" t="s">
        <v>1340</v>
      </c>
      <c r="AD118" t="s">
        <v>107</v>
      </c>
      <c r="AE118" t="s">
        <v>107</v>
      </c>
      <c r="AF118" t="s">
        <v>1342</v>
      </c>
      <c r="AG118" t="s">
        <v>1343</v>
      </c>
      <c r="AH118" t="s">
        <v>1344</v>
      </c>
      <c r="AI118" t="s">
        <v>107</v>
      </c>
      <c r="AJ118">
        <v>32.24</v>
      </c>
    </row>
    <row r="119" spans="1:37" x14ac:dyDescent="0.3">
      <c r="A119">
        <v>11</v>
      </c>
      <c r="B119" t="s">
        <v>1443</v>
      </c>
      <c r="C119" s="3">
        <f t="shared" ref="C119" si="42">J119/19</f>
        <v>157.87368421052631</v>
      </c>
      <c r="D119" t="s">
        <v>107</v>
      </c>
      <c r="E119" t="s">
        <v>1263</v>
      </c>
      <c r="F119" t="s">
        <v>1255</v>
      </c>
      <c r="G119" t="s">
        <v>1256</v>
      </c>
      <c r="H119" t="s">
        <v>1257</v>
      </c>
      <c r="I119" t="s">
        <v>36</v>
      </c>
      <c r="J119">
        <v>2999.6</v>
      </c>
      <c r="K119">
        <v>3</v>
      </c>
      <c r="L119">
        <v>1</v>
      </c>
      <c r="M119" t="s">
        <v>53</v>
      </c>
      <c r="N119">
        <v>1936</v>
      </c>
      <c r="T119">
        <v>1</v>
      </c>
      <c r="U119">
        <v>51.546340000000001</v>
      </c>
      <c r="V119">
        <v>46.035775000000001</v>
      </c>
      <c r="W119" t="s">
        <v>1258</v>
      </c>
      <c r="X119">
        <v>2</v>
      </c>
      <c r="Y119">
        <v>3.9</v>
      </c>
      <c r="Z119" t="s">
        <v>1259</v>
      </c>
      <c r="AA119" t="s">
        <v>1260</v>
      </c>
      <c r="AB119" t="s">
        <v>1261</v>
      </c>
      <c r="AC119" t="s">
        <v>1262</v>
      </c>
      <c r="AD119" t="s">
        <v>107</v>
      </c>
      <c r="AE119" t="s">
        <v>107</v>
      </c>
      <c r="AF119" t="s">
        <v>107</v>
      </c>
      <c r="AG119" t="s">
        <v>107</v>
      </c>
      <c r="AH119" t="s">
        <v>1264</v>
      </c>
      <c r="AI119" t="s">
        <v>95</v>
      </c>
      <c r="AJ119">
        <v>34.22</v>
      </c>
    </row>
    <row r="120" spans="1:37" x14ac:dyDescent="0.3">
      <c r="A120">
        <v>10</v>
      </c>
      <c r="B120" t="s">
        <v>1443</v>
      </c>
      <c r="C120">
        <v>196</v>
      </c>
      <c r="D120" t="s">
        <v>121</v>
      </c>
      <c r="E120" t="s">
        <v>119</v>
      </c>
      <c r="F120" t="s">
        <v>111</v>
      </c>
      <c r="G120" t="s">
        <v>112</v>
      </c>
      <c r="H120" t="s">
        <v>113</v>
      </c>
      <c r="I120" t="s">
        <v>36</v>
      </c>
      <c r="J120">
        <v>3733.6</v>
      </c>
      <c r="K120">
        <v>3</v>
      </c>
      <c r="L120">
        <v>1</v>
      </c>
      <c r="M120" t="s">
        <v>53</v>
      </c>
      <c r="N120">
        <v>1954</v>
      </c>
      <c r="T120">
        <v>1</v>
      </c>
      <c r="U120">
        <v>51.524715</v>
      </c>
      <c r="V120">
        <v>46.040230000000001</v>
      </c>
      <c r="W120" t="s">
        <v>114</v>
      </c>
      <c r="X120">
        <v>5</v>
      </c>
      <c r="Y120">
        <v>4.0999999999999996</v>
      </c>
      <c r="Z120" t="s">
        <v>115</v>
      </c>
      <c r="AA120" t="s">
        <v>116</v>
      </c>
      <c r="AB120" t="s">
        <v>117</v>
      </c>
      <c r="AC120" t="s">
        <v>118</v>
      </c>
      <c r="AD120" t="s">
        <v>120</v>
      </c>
      <c r="AE120" t="s">
        <v>121</v>
      </c>
      <c r="AF120" t="s">
        <v>122</v>
      </c>
      <c r="AG120" t="s">
        <v>123</v>
      </c>
      <c r="AH120" t="s">
        <v>124</v>
      </c>
      <c r="AI120" t="s">
        <v>49</v>
      </c>
      <c r="AJ120">
        <v>65.900000000000006</v>
      </c>
    </row>
    <row r="121" spans="1:37" x14ac:dyDescent="0.3">
      <c r="A121">
        <v>9</v>
      </c>
      <c r="B121" t="s">
        <v>1443</v>
      </c>
      <c r="C121" s="3">
        <f>J121/19</f>
        <v>157.28947368421052</v>
      </c>
      <c r="D121" t="s">
        <v>1304</v>
      </c>
      <c r="E121" t="s">
        <v>1303</v>
      </c>
      <c r="F121" t="s">
        <v>1295</v>
      </c>
      <c r="G121" t="s">
        <v>1296</v>
      </c>
      <c r="H121" t="s">
        <v>1297</v>
      </c>
      <c r="I121" t="s">
        <v>36</v>
      </c>
      <c r="J121">
        <v>2988.5</v>
      </c>
      <c r="K121">
        <v>3</v>
      </c>
      <c r="L121">
        <v>1</v>
      </c>
      <c r="M121" t="s">
        <v>53</v>
      </c>
      <c r="N121">
        <v>1936</v>
      </c>
      <c r="U121">
        <v>51.529209000000002</v>
      </c>
      <c r="V121">
        <v>46.049708000000003</v>
      </c>
      <c r="W121" t="s">
        <v>1298</v>
      </c>
      <c r="X121">
        <v>3.8</v>
      </c>
      <c r="Y121">
        <v>4.0999999999999996</v>
      </c>
      <c r="Z121" t="s">
        <v>1299</v>
      </c>
      <c r="AA121" t="s">
        <v>1300</v>
      </c>
      <c r="AB121" t="s">
        <v>1301</v>
      </c>
      <c r="AC121" t="s">
        <v>1302</v>
      </c>
      <c r="AD121" t="s">
        <v>107</v>
      </c>
      <c r="AE121" t="s">
        <v>1304</v>
      </c>
      <c r="AF121" t="s">
        <v>107</v>
      </c>
      <c r="AG121" t="s">
        <v>1305</v>
      </c>
      <c r="AH121" t="s">
        <v>1306</v>
      </c>
      <c r="AI121" t="s">
        <v>138</v>
      </c>
      <c r="AJ121">
        <v>32.64</v>
      </c>
    </row>
    <row r="122" spans="1:37" x14ac:dyDescent="0.3">
      <c r="A122">
        <v>8</v>
      </c>
      <c r="B122" t="s">
        <v>1443</v>
      </c>
      <c r="C122" s="3">
        <f t="shared" ref="C122:C124" si="43">J122/19</f>
        <v>239.72631578947369</v>
      </c>
      <c r="D122" t="s">
        <v>107</v>
      </c>
      <c r="E122" t="s">
        <v>606</v>
      </c>
      <c r="F122" t="s">
        <v>598</v>
      </c>
      <c r="G122" t="s">
        <v>599</v>
      </c>
      <c r="H122" t="s">
        <v>600</v>
      </c>
      <c r="I122" t="s">
        <v>36</v>
      </c>
      <c r="J122">
        <v>4554.8</v>
      </c>
      <c r="K122">
        <v>3</v>
      </c>
      <c r="L122">
        <v>1</v>
      </c>
      <c r="M122" t="s">
        <v>53</v>
      </c>
      <c r="N122">
        <v>1908</v>
      </c>
      <c r="S122">
        <v>1</v>
      </c>
      <c r="T122">
        <v>1</v>
      </c>
      <c r="U122">
        <v>51.529589999999999</v>
      </c>
      <c r="V122">
        <v>46.010621999999998</v>
      </c>
      <c r="W122" t="s">
        <v>601</v>
      </c>
      <c r="X122">
        <v>2.8</v>
      </c>
      <c r="Y122">
        <v>3.9</v>
      </c>
      <c r="Z122" t="s">
        <v>602</v>
      </c>
      <c r="AA122" t="s">
        <v>603</v>
      </c>
      <c r="AB122" t="s">
        <v>604</v>
      </c>
      <c r="AC122" t="s">
        <v>605</v>
      </c>
      <c r="AD122" t="s">
        <v>607</v>
      </c>
      <c r="AE122" t="s">
        <v>608</v>
      </c>
      <c r="AF122" t="s">
        <v>609</v>
      </c>
      <c r="AG122" t="s">
        <v>107</v>
      </c>
      <c r="AH122" t="s">
        <v>610</v>
      </c>
      <c r="AI122" t="s">
        <v>107</v>
      </c>
      <c r="AJ122">
        <v>49.92</v>
      </c>
      <c r="AK122" t="s">
        <v>1513</v>
      </c>
    </row>
    <row r="123" spans="1:37" x14ac:dyDescent="0.3">
      <c r="A123">
        <v>7</v>
      </c>
      <c r="B123" t="s">
        <v>1443</v>
      </c>
      <c r="C123" s="3">
        <f t="shared" si="43"/>
        <v>223.43157894736842</v>
      </c>
      <c r="D123" t="s">
        <v>313</v>
      </c>
      <c r="E123" t="s">
        <v>311</v>
      </c>
      <c r="F123" t="s">
        <v>303</v>
      </c>
      <c r="G123" t="s">
        <v>304</v>
      </c>
      <c r="H123" t="s">
        <v>305</v>
      </c>
      <c r="I123" t="s">
        <v>36</v>
      </c>
      <c r="J123">
        <v>4245.2</v>
      </c>
      <c r="K123">
        <v>3</v>
      </c>
      <c r="M123" t="s">
        <v>53</v>
      </c>
      <c r="N123">
        <v>1971</v>
      </c>
      <c r="S123">
        <v>1</v>
      </c>
      <c r="U123">
        <v>51.516571999999996</v>
      </c>
      <c r="V123">
        <v>45.992718000000004</v>
      </c>
      <c r="W123" t="s">
        <v>306</v>
      </c>
      <c r="X123">
        <v>3.4</v>
      </c>
      <c r="Y123">
        <v>3.9</v>
      </c>
      <c r="Z123" t="s">
        <v>307</v>
      </c>
      <c r="AA123" t="s">
        <v>308</v>
      </c>
      <c r="AB123" t="s">
        <v>309</v>
      </c>
      <c r="AC123" t="s">
        <v>310</v>
      </c>
      <c r="AD123" t="s">
        <v>312</v>
      </c>
      <c r="AE123" t="s">
        <v>313</v>
      </c>
      <c r="AF123" t="s">
        <v>107</v>
      </c>
      <c r="AG123" t="s">
        <v>107</v>
      </c>
      <c r="AH123" t="s">
        <v>314</v>
      </c>
      <c r="AI123" t="s">
        <v>79</v>
      </c>
      <c r="AJ123">
        <v>57.51</v>
      </c>
    </row>
    <row r="124" spans="1:37" x14ac:dyDescent="0.3">
      <c r="A124">
        <v>6</v>
      </c>
      <c r="B124" t="s">
        <v>1443</v>
      </c>
      <c r="C124" s="3">
        <f t="shared" si="43"/>
        <v>274.2315789473684</v>
      </c>
      <c r="D124" t="s">
        <v>621</v>
      </c>
      <c r="E124" t="s">
        <v>619</v>
      </c>
      <c r="F124" t="s">
        <v>611</v>
      </c>
      <c r="G124" t="s">
        <v>612</v>
      </c>
      <c r="H124" t="s">
        <v>613</v>
      </c>
      <c r="I124" t="s">
        <v>36</v>
      </c>
      <c r="J124">
        <v>5210.3999999999996</v>
      </c>
      <c r="K124">
        <v>3</v>
      </c>
      <c r="L124">
        <v>1</v>
      </c>
      <c r="M124" t="s">
        <v>53</v>
      </c>
      <c r="N124">
        <v>1972</v>
      </c>
      <c r="U124">
        <v>51.559348999999997</v>
      </c>
      <c r="V124">
        <v>46.025480000000002</v>
      </c>
      <c r="W124" t="s">
        <v>614</v>
      </c>
      <c r="X124">
        <v>3.9</v>
      </c>
      <c r="Y124">
        <v>3.8</v>
      </c>
      <c r="Z124" t="s">
        <v>615</v>
      </c>
      <c r="AA124" t="s">
        <v>616</v>
      </c>
      <c r="AB124" t="s">
        <v>617</v>
      </c>
      <c r="AC124" t="s">
        <v>618</v>
      </c>
      <c r="AD124" t="s">
        <v>620</v>
      </c>
      <c r="AE124" t="s">
        <v>621</v>
      </c>
      <c r="AF124" t="s">
        <v>622</v>
      </c>
      <c r="AG124" t="s">
        <v>107</v>
      </c>
      <c r="AH124" t="s">
        <v>623</v>
      </c>
      <c r="AI124" t="s">
        <v>49</v>
      </c>
      <c r="AJ124">
        <v>49.78</v>
      </c>
    </row>
    <row r="125" spans="1:37" x14ac:dyDescent="0.3">
      <c r="A125">
        <v>5</v>
      </c>
      <c r="B125" t="s">
        <v>1502</v>
      </c>
      <c r="C125">
        <v>400</v>
      </c>
      <c r="D125" t="s">
        <v>1375</v>
      </c>
      <c r="E125" t="s">
        <v>1374</v>
      </c>
      <c r="F125" t="s">
        <v>1366</v>
      </c>
      <c r="G125" t="s">
        <v>1367</v>
      </c>
      <c r="H125" t="s">
        <v>1368</v>
      </c>
      <c r="I125" t="s">
        <v>36</v>
      </c>
      <c r="J125">
        <v>3165.6</v>
      </c>
      <c r="K125">
        <v>3</v>
      </c>
      <c r="L125">
        <v>1</v>
      </c>
      <c r="M125" t="s">
        <v>53</v>
      </c>
      <c r="N125">
        <v>1936</v>
      </c>
      <c r="T125">
        <v>1</v>
      </c>
      <c r="U125">
        <v>51.551386000000001</v>
      </c>
      <c r="V125">
        <v>46.014763000000002</v>
      </c>
      <c r="W125" t="s">
        <v>1369</v>
      </c>
      <c r="X125">
        <v>3.7</v>
      </c>
      <c r="Y125">
        <v>2.7</v>
      </c>
      <c r="Z125" t="s">
        <v>1370</v>
      </c>
      <c r="AA125" t="s">
        <v>1371</v>
      </c>
      <c r="AB125" t="s">
        <v>1372</v>
      </c>
      <c r="AC125" t="s">
        <v>1373</v>
      </c>
      <c r="AD125" t="s">
        <v>107</v>
      </c>
      <c r="AE125" t="s">
        <v>1375</v>
      </c>
      <c r="AF125" t="s">
        <v>1376</v>
      </c>
      <c r="AG125" t="s">
        <v>107</v>
      </c>
      <c r="AH125" t="s">
        <v>1377</v>
      </c>
      <c r="AI125" t="s">
        <v>49</v>
      </c>
      <c r="AJ125">
        <v>31.64</v>
      </c>
    </row>
    <row r="126" spans="1:37" x14ac:dyDescent="0.3">
      <c r="A126">
        <v>4</v>
      </c>
      <c r="B126" t="s">
        <v>1443</v>
      </c>
      <c r="C126" s="3">
        <f>J126/19</f>
        <v>275.16315789473686</v>
      </c>
      <c r="D126" t="s">
        <v>909</v>
      </c>
      <c r="E126" t="s">
        <v>908</v>
      </c>
      <c r="F126" t="s">
        <v>900</v>
      </c>
      <c r="G126" t="s">
        <v>901</v>
      </c>
      <c r="H126" t="s">
        <v>902</v>
      </c>
      <c r="I126" t="s">
        <v>36</v>
      </c>
      <c r="J126">
        <v>5228.1000000000004</v>
      </c>
      <c r="K126">
        <v>3</v>
      </c>
      <c r="L126">
        <v>1</v>
      </c>
      <c r="M126" t="s">
        <v>53</v>
      </c>
      <c r="N126">
        <v>1937</v>
      </c>
      <c r="O126">
        <v>2023</v>
      </c>
      <c r="U126">
        <v>51.534771999999997</v>
      </c>
      <c r="V126">
        <v>46.016478999999997</v>
      </c>
      <c r="W126" t="s">
        <v>903</v>
      </c>
      <c r="X126">
        <v>4.0999999999999996</v>
      </c>
      <c r="Y126">
        <v>3.8</v>
      </c>
      <c r="Z126" t="s">
        <v>904</v>
      </c>
      <c r="AA126" t="s">
        <v>905</v>
      </c>
      <c r="AB126" t="s">
        <v>906</v>
      </c>
      <c r="AC126" t="s">
        <v>907</v>
      </c>
      <c r="AD126" t="s">
        <v>107</v>
      </c>
      <c r="AE126" t="s">
        <v>909</v>
      </c>
      <c r="AF126" t="s">
        <v>910</v>
      </c>
      <c r="AG126" t="s">
        <v>911</v>
      </c>
      <c r="AH126" t="s">
        <v>912</v>
      </c>
      <c r="AI126" t="s">
        <v>79</v>
      </c>
      <c r="AJ126">
        <v>44.28</v>
      </c>
      <c r="AK126" t="s">
        <v>1513</v>
      </c>
    </row>
    <row r="127" spans="1:37" x14ac:dyDescent="0.3">
      <c r="A127">
        <v>3</v>
      </c>
      <c r="B127" t="s">
        <v>1443</v>
      </c>
      <c r="C127">
        <v>1099</v>
      </c>
      <c r="D127" t="s">
        <v>364</v>
      </c>
      <c r="E127" t="s">
        <v>362</v>
      </c>
      <c r="F127" t="s">
        <v>354</v>
      </c>
      <c r="G127" t="s">
        <v>355</v>
      </c>
      <c r="H127" t="s">
        <v>356</v>
      </c>
      <c r="I127" t="s">
        <v>36</v>
      </c>
      <c r="J127">
        <v>4706.6000000000004</v>
      </c>
      <c r="K127">
        <v>3</v>
      </c>
      <c r="L127">
        <v>1</v>
      </c>
      <c r="M127" t="s">
        <v>53</v>
      </c>
      <c r="N127">
        <v>1937</v>
      </c>
      <c r="T127">
        <v>1</v>
      </c>
      <c r="U127">
        <v>51.521794999999997</v>
      </c>
      <c r="V127">
        <v>46.010209000000003</v>
      </c>
      <c r="W127" t="s">
        <v>357</v>
      </c>
      <c r="X127">
        <v>3.3</v>
      </c>
      <c r="Y127">
        <v>4.0999999999999996</v>
      </c>
      <c r="Z127" t="s">
        <v>358</v>
      </c>
      <c r="AA127" t="s">
        <v>359</v>
      </c>
      <c r="AB127" t="s">
        <v>360</v>
      </c>
      <c r="AC127" t="s">
        <v>361</v>
      </c>
      <c r="AD127" t="s">
        <v>363</v>
      </c>
      <c r="AE127" t="s">
        <v>364</v>
      </c>
      <c r="AF127" t="s">
        <v>122</v>
      </c>
      <c r="AG127" t="s">
        <v>365</v>
      </c>
      <c r="AH127" t="s">
        <v>107</v>
      </c>
      <c r="AI127" t="s">
        <v>107</v>
      </c>
      <c r="AJ127">
        <v>56.31</v>
      </c>
    </row>
    <row r="128" spans="1:37" x14ac:dyDescent="0.3">
      <c r="A128">
        <v>2</v>
      </c>
      <c r="B128" t="s">
        <v>1443</v>
      </c>
      <c r="C128" s="3">
        <f>J128/19</f>
        <v>508.20526315789471</v>
      </c>
      <c r="D128" t="s">
        <v>107</v>
      </c>
      <c r="E128" t="s">
        <v>1057</v>
      </c>
      <c r="F128" t="s">
        <v>1049</v>
      </c>
      <c r="G128" t="s">
        <v>1050</v>
      </c>
      <c r="H128" t="s">
        <v>1051</v>
      </c>
      <c r="I128" t="s">
        <v>36</v>
      </c>
      <c r="J128">
        <v>9655.9</v>
      </c>
      <c r="K128">
        <v>3</v>
      </c>
      <c r="N128">
        <v>1966</v>
      </c>
      <c r="U128">
        <v>51.536867999999998</v>
      </c>
      <c r="V128">
        <v>45.983313000000003</v>
      </c>
      <c r="W128" t="s">
        <v>1052</v>
      </c>
      <c r="X128">
        <v>4.0999999999999996</v>
      </c>
      <c r="Y128">
        <v>3.8</v>
      </c>
      <c r="Z128" t="s">
        <v>1053</v>
      </c>
      <c r="AA128" t="s">
        <v>1054</v>
      </c>
      <c r="AB128" t="s">
        <v>1055</v>
      </c>
      <c r="AC128" t="s">
        <v>1056</v>
      </c>
      <c r="AD128" t="s">
        <v>107</v>
      </c>
      <c r="AE128" t="s">
        <v>107</v>
      </c>
      <c r="AF128" t="s">
        <v>107</v>
      </c>
      <c r="AG128" t="s">
        <v>107</v>
      </c>
      <c r="AH128" t="s">
        <v>1058</v>
      </c>
      <c r="AI128" t="s">
        <v>49</v>
      </c>
      <c r="AJ128">
        <v>39.619999999999997</v>
      </c>
    </row>
    <row r="129" spans="1:36" x14ac:dyDescent="0.3">
      <c r="A129">
        <v>1</v>
      </c>
      <c r="B129" t="s">
        <v>1443</v>
      </c>
      <c r="C129" s="3">
        <f>J129/19</f>
        <v>59.989473684210523</v>
      </c>
      <c r="D129" t="s">
        <v>107</v>
      </c>
      <c r="E129" t="s">
        <v>107</v>
      </c>
      <c r="F129" t="s">
        <v>1210</v>
      </c>
      <c r="G129" t="s">
        <v>1211</v>
      </c>
      <c r="H129" t="s">
        <v>1212</v>
      </c>
      <c r="I129" t="s">
        <v>36</v>
      </c>
      <c r="J129">
        <v>1139.8</v>
      </c>
      <c r="K129">
        <v>2</v>
      </c>
      <c r="M129" t="s">
        <v>156</v>
      </c>
      <c r="N129">
        <v>1980</v>
      </c>
      <c r="T129">
        <v>1</v>
      </c>
      <c r="U129">
        <v>51.509918999999996</v>
      </c>
      <c r="V129">
        <v>45.987625000000001</v>
      </c>
      <c r="W129" t="s">
        <v>1213</v>
      </c>
      <c r="Y129">
        <v>4.7</v>
      </c>
      <c r="Z129" t="s">
        <v>1214</v>
      </c>
      <c r="AA129" t="s">
        <v>1215</v>
      </c>
      <c r="AD129" t="s">
        <v>107</v>
      </c>
      <c r="AE129" t="s">
        <v>107</v>
      </c>
      <c r="AF129" t="s">
        <v>107</v>
      </c>
      <c r="AG129" t="s">
        <v>107</v>
      </c>
      <c r="AH129" t="s">
        <v>107</v>
      </c>
      <c r="AI129" t="s">
        <v>107</v>
      </c>
      <c r="AJ129">
        <v>35.14</v>
      </c>
    </row>
  </sheetData>
  <sortState ref="A2:AI129">
    <sortCondition descending="1" ref="A118"/>
  </sortState>
  <hyperlinks>
    <hyperlink ref="B96" r:id="rId1"/>
    <hyperlink ref="B9" r:id="rId2"/>
    <hyperlink ref="E27" r:id="rId3"/>
    <hyperlink ref="E41" r:id="rId4"/>
  </hyperlinks>
  <pageMargins left="0.75" right="0.75" top="1" bottom="1" header="0.5" footer="0.5"/>
  <pageSetup paperSize="9" orientation="portrait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Информация о школах Саратова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Miroslav</cp:lastModifiedBy>
  <dcterms:created xsi:type="dcterms:W3CDTF">2026-05-08T07:02:29Z</dcterms:created>
  <dcterms:modified xsi:type="dcterms:W3CDTF">2026-06-04T06:41:07Z</dcterms:modified>
</cp:coreProperties>
</file>